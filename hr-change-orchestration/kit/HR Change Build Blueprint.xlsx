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" sheetId="2" state="visible" r:id="rId4"/>
    <sheet name="Build Steps" sheetId="3" state="visible" r:id="rId5"/>
    <sheet name="Reusable Blocks" sheetId="4" state="visible" r:id="rId6"/>
    <sheet name="Gates" sheetId="5" state="visible" r:id="rId7"/>
    <sheet name="Test Pack" sheetId="6" state="visible" r:id="rId8"/>
    <sheet name="Decisions" sheetId="7" state="visible" r:id="rId9"/>
    <sheet name="Inspiration Review" sheetId="8" state="visible" r:id="rId10"/>
    <sheet name="Plan Traceability" sheetId="9" state="visible" r:id="rId11"/>
    <sheet name="Dependencies" sheetId="10" state="visible" r:id="rId12"/>
    <sheet name="Com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<sst xmlns="http://schemas.openxmlformats.org/spreadsheetml/2006/main" count="1394" uniqueCount="845">
  <si>
    <t xml:space="preserve">HR Change + Orchestration — Build Blueprint</t>
  </si>
  <si>
    <t xml:space="preserve">Sprints, gates and progress. Mint cells are inputs; everything else is calculated.</t>
  </si>
  <si>
    <t xml:space="preserve">Sprint 0 start date</t>
  </si>
  <si>
    <t xml:space="preserve">← type your real start date (a Monday)</t>
  </si>
  <si>
    <t xml:space="preserve">Sprint</t>
  </si>
  <si>
    <t xml:space="preserve">Name</t>
  </si>
  <si>
    <t xml:space="preserve">Phase</t>
  </si>
  <si>
    <t xml:space="preserve">Weeks</t>
  </si>
  <si>
    <t xml:space="preserve">Start</t>
  </si>
  <si>
    <t xml:space="preserve">End</t>
  </si>
  <si>
    <t xml:space="preserve">Steps</t>
  </si>
  <si>
    <t xml:space="preserve">Done</t>
  </si>
  <si>
    <t xml:space="preserve">% done</t>
  </si>
  <si>
    <t xml:space="preserve">Gate</t>
  </si>
  <si>
    <t xml:space="preserve">Gate status</t>
  </si>
  <si>
    <t xml:space="preserve">S0</t>
  </si>
  <si>
    <t xml:space="preserve">Foundations</t>
  </si>
  <si>
    <t xml:space="preserve">Crawl</t>
  </si>
  <si>
    <t xml:space="preserve">G0 — Ready to build</t>
  </si>
  <si>
    <t xml:space="preserve">Not started</t>
  </si>
  <si>
    <t xml:space="preserve">S1</t>
  </si>
  <si>
    <t xml:space="preserve">Crawl — Path E end to end</t>
  </si>
  <si>
    <t xml:space="preserve">G1 — Plumbing proven</t>
  </si>
  <si>
    <t xml:space="preserve">S2</t>
  </si>
  <si>
    <t xml:space="preserve">Crawl complete — Template I pilot + front door live</t>
  </si>
  <si>
    <t xml:space="preserve">G2 — Front door live</t>
  </si>
  <si>
    <t xml:space="preserve">S3</t>
  </si>
  <si>
    <t xml:space="preserve">Walk — Approvals B/C/F + checklist progress</t>
  </si>
  <si>
    <t xml:space="preserve">Walk</t>
  </si>
  <si>
    <t xml:space="preserve">G3 — Approvals live</t>
  </si>
  <si>
    <t xml:space="preserve">S4</t>
  </si>
  <si>
    <t xml:space="preserve">Walk — Daily digest, cutoff reminder, hardening</t>
  </si>
  <si>
    <t xml:space="preserve">G4 — Operational</t>
  </si>
  <si>
    <t xml:space="preserve">S5</t>
  </si>
  <si>
    <t xml:space="preserve">Walk — Downstream actions (dependency-driven)</t>
  </si>
  <si>
    <t xml:space="preserve">G5 — per item</t>
  </si>
  <si>
    <t xml:space="preserve">S6</t>
  </si>
  <si>
    <t xml:space="preserve">Run — Self-service + full audit</t>
  </si>
  <si>
    <t xml:space="preserve">Run</t>
  </si>
  <si>
    <t xml:space="preserve">Ongoing</t>
  </si>
  <si>
    <t xml:space="preserve">Total</t>
  </si>
  <si>
    <t xml:space="preserve">How to use this workbook:</t>
  </si>
  <si>
    <t xml:space="preserve">  1. Set the start date above. Sprint dates follow (S6 is ongoing).</t>
  </si>
  <si>
    <t xml:space="preserve">  2. Work the 'Build Steps' tab top to bottom. Set Status as you go — progress updates here.</t>
  </si>
  <si>
    <t xml:space="preserve">  3. Each sprint ends at a gate (Gates tab). Don't start the next sprint until every gate line is Passed.</t>
  </si>
  <si>
    <t xml:space="preserve">  4. Run the tests named in each sprint (Test Pack tab). Record Pass/Fail.</t>
  </si>
  <si>
    <t xml:space="preserve">  5. The Word document 'HR Change Blueprint' has the same steps with full explanations.</t>
  </si>
  <si>
    <t xml:space="preserve">Roadmap — sprints and gates</t>
  </si>
  <si>
    <t xml:space="preserve">Crawl → Walk → Run, as in the project plan.</t>
  </si>
  <si>
    <t xml:space="preserve">Goal</t>
  </si>
  <si>
    <t xml:space="preserve">Entry criteria</t>
  </si>
  <si>
    <t xml:space="preserve">Gate criteria</t>
  </si>
  <si>
    <t xml:space="preserve">Reference workbook, the one list, permissions, form, views, connections.</t>
  </si>
  <si>
    <t xml:space="preserve">Plan approved; this kit downloaded.</t>
  </si>
  <si>
    <t xml:space="preserve">• D3, D5, D6 confirmed by CJ
• Field list signed off with Johanna
• Reference workbook uploaded and Settings filled
• List built: all columns, choices, required fields, show/hide formulas, views
• T21 passed (non-HR account sees only own requests)</t>
  </si>
  <si>
    <t xml:space="preserve">Flow 1 Intake, Flow 2 Checklist Router, Flow 4 Completion Auto-Comment. Proven on E.</t>
  </si>
  <si>
    <t xml:space="preserve">G0 passed.</t>
  </si>
  <si>
    <t xml:space="preserve">• T01–T06 pass
• One live E submission by Johanna closed end to end
• A failure alert email received from a Catch block (any test)
• Flows owned by the HR/service account, not a personal one</t>
  </si>
  <si>
    <t xml:space="preserve">Flow 5 Approval Routing (HR stage for I), Flow 3 Payroll Notification, all checklists live, front door launched.</t>
  </si>
  <si>
    <t xml:space="preserve">G1 passed.</t>
  </si>
  <si>
    <t xml:space="preserve">• T07–T13 pass
• First real I case approved, earning entered, resolved, Payroll FYI posted
• Form pinned in #lane-people-talent; manager comms sent
• HR mailbox auto-reply points to the form</t>
  </si>
  <si>
    <t xml:space="preserve">Approval chains switched on from Excel; Flow 6 Checklist Progress; UAT with Johanna.</t>
  </si>
  <si>
    <t xml:space="preserve">G2 passed; approval matrix signed off.</t>
  </si>
  <si>
    <t xml:space="preserve">• Approval matrix signed off; Approvers table filled per region
• T14–T17 and T22 pass
• UAT with Johanna on every path A1–I</t>
  </si>
  <si>
    <t xml:space="preserve">Flow 7; exception drill; two weeks of steady operation.</t>
  </si>
  <si>
    <t xml:space="preserve">G3 passed.</t>
  </si>
  <si>
    <t xml:space="preserve">• T18–T20 pass
• Two weeks of digests reviewed
• No request handled outside the list in those two weeks
• SLA baseline reviewed (All Open by SLA / Recently Resolved)</t>
  </si>
  <si>
    <t xml:space="preserve">Jira, offboarding distro, Word letters, Monday board — each only when its dependency is confirmed.</t>
  </si>
  <si>
    <t xml:space="preserve">G4 passed; each item's dependency confirmed.</t>
  </si>
  <si>
    <t xml:space="preserve">• Dependency confirmed in writing
• Built and tested on a test request
• Checklist step updated to show it is automated (Auto column)</t>
  </si>
  <si>
    <t xml:space="preserve">Manager self-service form, dashboard, in-Slack approvals, Paycor iPaaS, holiday-aware SLA.</t>
  </si>
  <si>
    <t xml:space="preserve">G5 items as available.</t>
  </si>
  <si>
    <t xml:space="preserve">• Each item ships with its own test cases and a rollback note</t>
  </si>
  <si>
    <t xml:space="preserve">Build Steps</t>
  </si>
  <si>
    <t xml:space="preserve">Every step in order. Status is the only column you need to update (plus Done on / Notes).</t>
  </si>
  <si>
    <t xml:space="preserve">ID</t>
  </si>
  <si>
    <t xml:space="preserve">Area</t>
  </si>
  <si>
    <t xml:space="preserve">Step</t>
  </si>
  <si>
    <t xml:space="preserve">Where</t>
  </si>
  <si>
    <t xml:space="preserve">Do</t>
  </si>
  <si>
    <t xml:space="preserve">Paste / settings</t>
  </si>
  <si>
    <t xml:space="preserve">Check</t>
  </si>
  <si>
    <t xml:space="preserve">Owner</t>
  </si>
  <si>
    <t xml:space="preserve">Status</t>
  </si>
  <si>
    <t xml:space="preserve">Done on</t>
  </si>
  <si>
    <t xml:space="preserve">Notes</t>
  </si>
  <si>
    <t xml:space="preserve">S0-01</t>
  </si>
  <si>
    <t xml:space="preserve">Decisions</t>
  </si>
  <si>
    <t xml:space="preserve">Confirm the open design decisions</t>
  </si>
  <si>
    <t xml:space="preserve">Decisions tab</t>
  </si>
  <si>
    <t xml:space="preserve">• Review D3 (front door), D5 (Template I: Payroll verifier, not gate), D6 (Manager person field).
• Mark each Confirmed / Changed in the Decisions tab.</t>
  </si>
  <si>
    <t xml:space="preserve">D3, D5, D6 no longer say 'Confirm'.</t>
  </si>
  <si>
    <t xml:space="preserve">CJ</t>
  </si>
  <si>
    <t xml:space="preserve">S0-02</t>
  </si>
  <si>
    <t xml:space="preserve">Excel</t>
  </si>
  <si>
    <t xml:space="preserve">Store the reference workbook</t>
  </si>
  <si>
    <t xml:space="preserve">People Ops SharePoint site → Documents</t>
  </si>
  <si>
    <t xml:space="preserve">• Create a folder 'HR Change' and upload HR Change Reference.xlsx.
• Folder → Manage access: HR owners can edit; everyone else no access.
• Read the About sheet: never rename a table (tblSettings, tblChangeTypes, tblChecklist, tblApprovers) or a column header.</t>
  </si>
  <si>
    <t xml:space="preserve">The file opens in Excel for the web and Table Design shows the four table names.</t>
  </si>
  <si>
    <t xml:space="preserve">S0-03</t>
  </si>
  <si>
    <t xml:space="preserve">Fill in Settings</t>
  </si>
  <si>
    <t xml:space="preserve">HR Change Reference.xlsx → Settings</t>
  </si>
  <si>
    <t xml:space="preserve">• Set TimeZone, CutoffDay1, CutoffDay2 (your real payroll cutoffs), ReminderBusinessDays and AdminEmail.
• Leave IntakeFormUrl for S0-14.</t>
  </si>
  <si>
    <t xml:space="preserve">No '&lt;' placeholders left except IntakeFormUrl.</t>
  </si>
  <si>
    <t xml:space="preserve">Johanna</t>
  </si>
  <si>
    <t xml:space="preserve">S0-04</t>
  </si>
  <si>
    <t xml:space="preserve">Review Change Types</t>
  </si>
  <si>
    <t xml:space="preserve">HR Change Reference.xlsx → Change Types</t>
  </si>
  <si>
    <t xml:space="preserve">• Check SLA days and the Due Date Rule for every type (Business days / Effective date / None).
• Set DefaultAssigneeEmail where a type always goes to the same person (G → CJ is pre-filled).
• Leave ApprovalChain blank for B, C, F until Sprint 3 (decision D13). I = 'HR' (pilot).
• Decide Sensitive for H (A2 and G are Yes).</t>
  </si>
  <si>
    <t xml:space="preserve">Every row has Code, ChangeType, DueDateRule; Yes/No columns contain only Yes or No.</t>
  </si>
  <si>
    <t xml:space="preserve">S0-05</t>
  </si>
  <si>
    <t xml:space="preserve">Review the checklists against the SOP</t>
  </si>
  <si>
    <t xml:space="preserve">HR Change Reference.xlsx → Checklists</t>
  </si>
  <si>
    <t xml:space="preserve">• Walk A1–I with Johanna. Edit Task / Details / Owner as needed. Keep Step as two digits (01, 02 …).
• Auto: 'approval' = ticked by the approvals flow; 'resolution' = ticked when the case is resolved. AfterApproval = Yes shows 🔒.</t>
  </si>
  <si>
    <t xml:space="preserve">Johanna signs off each change type's steps.</t>
  </si>
  <si>
    <t xml:space="preserve">S0-06</t>
  </si>
  <si>
    <t xml:space="preserve">Draft the Approvers table</t>
  </si>
  <si>
    <t xml:space="preserve">HR Change Reference.xlsx → Approvers</t>
  </si>
  <si>
    <t xml:space="preserve">• One row per Role (Regional, HR, Payroll) and Region. Region '*' = default for any region.
• Region values must match the list's Region choices exactly.</t>
  </si>
  <si>
    <t xml:space="preserve">An HR row with Region '*' and Active = Yes exists (needed for the I pilot).</t>
  </si>
  <si>
    <t xml:space="preserve">S0-07</t>
  </si>
  <si>
    <t xml:space="preserve">SharePoint</t>
  </si>
  <si>
    <t xml:space="preserve">Create the list from CSV</t>
  </si>
  <si>
    <t xml:space="preserve">Site → + New → List → From CSV → HR-Change-Requests.csv</t>
  </si>
  <si>
    <t xml:space="preserve">• Keep the headers exactly (no spaces = internal names the flows use).
• In the preview, set each column type per the List Fields tab.
• Name the list 'HR Change Requests' → Create. Delete the SAMPLE row.</t>
  </si>
  <si>
    <t xml:space="preserve">List settings → Columns shows internal names without spaces (hover a column: Field=EmployeeName).</t>
  </si>
  <si>
    <t xml:space="preserve">S0-08</t>
  </si>
  <si>
    <t xml:space="preserve">Finish the choice columns</t>
  </si>
  <si>
    <t xml:space="preserve">List → column header → Column settings → Edit</t>
  </si>
  <si>
    <t xml:space="preserve">• For every Choice column, paste the full choice list from the List Fields tab (one per line).
• Defaults: Status = 0-New, ApprovalStatus = Not required.</t>
  </si>
  <si>
    <t xml:space="preserve">New form shows all 11 Change Type values.</t>
  </si>
  <si>
    <t xml:space="preserve">S0-09</t>
  </si>
  <si>
    <t xml:space="preserve">Add the three Person columns</t>
  </si>
  <si>
    <t xml:space="preserve">List → + Add column → Person</t>
  </si>
  <si>
    <t xml:space="preserve">• Manager (required), Assignee, RequestedBy — type the name without spaces first; rename the display name afterwards if you like.</t>
  </si>
  <si>
    <t xml:space="preserve">All three appear in the New form / list settings.</t>
  </si>
  <si>
    <t xml:space="preserve">S0-10</t>
  </si>
  <si>
    <t xml:space="preserve">Required fields + permissions</t>
  </si>
  <si>
    <t xml:space="preserve">List settings</t>
  </si>
  <si>
    <t xml:space="preserve">• Required: EmployeeName, EmployeeId, Manager, ChangeType, EffectiveDate.
• Advanced settings → Read access: 'Read items that were created by the user'; Create and Edit access: 'Create items and edit items that were created by the user'.
• HR team: Full Control (or Edit + Override List Behaviors) so they see everything.</t>
  </si>
  <si>
    <t xml:space="preserve">Test T21 with a non-HR colleague.</t>
  </si>
  <si>
    <t xml:space="preserve">S0-11</t>
  </si>
  <si>
    <t xml:space="preserve">Show/hide formulas on the form</t>
  </si>
  <si>
    <t xml:space="preserve">List → + New → Edit form (pencil) → Edit columns → column ⋯ → Edit conditional formula</t>
  </si>
  <si>
    <t xml:space="preserve">• Paste the 'Show formula' from the List Fields tab for every Conditional and Case column.
• Drag the universal fields to the top in Slack-form order: Employee Name, Employee ID, Manager, Change Type, Effective Date, Region, Additional Notes.</t>
  </si>
  <si>
    <t xml:space="preserve">Choosing 'C — Comp Change' shows New Rate + Effective Pay Period only; case fields are hidden on New.</t>
  </si>
  <si>
    <t xml:space="preserve">S0-12</t>
  </si>
  <si>
    <t xml:space="preserve">Create the workbench views</t>
  </si>
  <si>
    <t xml:space="preserve">List → All Items → Create new view</t>
  </si>
  <si>
    <t xml:space="preserve">• Create the 8 views on the Views tab (filters, sort/group, columns).</t>
  </si>
  <si>
    <t xml:space="preserve">'Needs Attention Today' and 'Exceptions' exist.</t>
  </si>
  <si>
    <t xml:space="preserve">S0-13</t>
  </si>
  <si>
    <t xml:space="preserve">Power Automate</t>
  </si>
  <si>
    <t xml:space="preserve">Create the connections</t>
  </si>
  <si>
    <t xml:space="preserve">make.powerautomate.com → Data → Connections</t>
  </si>
  <si>
    <t xml:space="preserve">• Slack: sign in as the People Ops service account (D9).
• SharePoint, Office 365 Outlook, Excel Online (Business), Approvals: the HR flow-owner account (Full Control on the site).</t>
  </si>
  <si>
    <t xml:space="preserve">Five connections show 'Connected'.</t>
  </si>
  <si>
    <t xml:space="preserve">S0-14</t>
  </si>
  <si>
    <t xml:space="preserve">Record the front door link</t>
  </si>
  <si>
    <t xml:space="preserve">List → + New</t>
  </si>
  <si>
    <t xml:space="preserve">• Copy the browser address of the New form into Settings → IntakeFormUrl.</t>
  </si>
  <si>
    <t xml:space="preserve">The link opens the New form for a non-HR user.</t>
  </si>
  <si>
    <t xml:space="preserve">S1-01</t>
  </si>
  <si>
    <t xml:space="preserve">Flow 1</t>
  </si>
  <si>
    <t xml:space="preserve">Create 'HR Change - 1 Intake Notification'</t>
  </si>
  <si>
    <t xml:space="preserve">My flows → + New flow → Automated cloud flow</t>
  </si>
  <si>
    <t xml:space="preserve">• Trigger: SharePoint — When an item is created · Site: People Ops · List: HR Change Requests.
• Add Control → Scope, rename it 'Try'. Build every following action INSIDE Try.</t>
  </si>
  <si>
    <t xml:space="preserve">Saved with trigger + empty Try.</t>
  </si>
  <si>
    <t xml:space="preserve">S1-02</t>
  </si>
  <si>
    <t xml:space="preserve">Add the standard opening block</t>
  </si>
  <si>
    <t xml:space="preserve">Inside Try</t>
  </si>
  <si>
    <t xml:space="preserve">• Add the six actions of the Standard opening block (Appendix A), renamed exactly.</t>
  </si>
  <si>
    <t xml:space="preserve">Settings row  (Excel Online (Business) → List rows present in a table):
    Location: your People Ops site · Document Library: Documents · File: HR Change/HR Change Reference.xlsx · Table: tblSettings
Settings  (Compose):
    first(outputs('Settings_row')?['body/value'])
Code  (Compose):
    first(split(triggerBody()?['ChangeType']?['Value'], ' '))
Change type row  (Excel → List rows present in a table) — Table: tblChangeTypes · Filter Query::
    Code eq '@{outputs('Code')}'
Config  (Compose):
    first(outputs('Change_type_row')?['body/value'])
Request ID  (Compose):
    concat(outputs('Settings')?['RequestPrefix'], formatNumber(triggerBody()?['ID'], '000000'))</t>
  </si>
  <si>
    <t xml:space="preserve">Run once (Test → Manually, then create an E request): Config shows the E row.</t>
  </si>
  <si>
    <t xml:space="preserve">S1-03</t>
  </si>
  <si>
    <t xml:space="preserve">SLA due date</t>
  </si>
  <si>
    <t xml:space="preserve">Inside Try, after Request ID</t>
  </si>
  <si>
    <t xml:space="preserve">• Four Compose actions, renamed as shown.</t>
  </si>
  <si>
    <t xml:space="preserve">Submitted Local:
    convertFromUtc(triggerBody()?['Created'], outputs('Settings')?['TimeZone'])
SLA Start  (weekend submissions start Monday):
    addDays(startOfDay(outputs('Submitted_Local')), if(equals(dayOfWeek(outputs('Submitted_Local')), 6), 2, if(equals(dayOfWeek(outputs('Submitted_Local')), 0), 1, 0)))
SLA Days:
    if(empty(outputs('Config')?['SLABusinessDays']), 0, int(outputs('Config')?['SLABusinessDays']))
SLA Due Date:
    if(equals(outputs('Config')?['DueDateRule'], 'Effective date'), formatDateTime(coalesce(triggerBody()?['LastDay'], triggerBody()?['EffectiveDate']), 'yyyy-MM-dd'), if(equals(outputs('SLA_Days'), 0), null, formatDateTime(addDays(outputs('SLA_Start'), add(add(mul(div(outputs('SLA_Days'), 5), 7), mod(outputs('SLA_Days'), 5)), if(greater(add(dayOfWeek(outputs('SLA_Start')), mod(outputs('SLA_Days'), 5)), 5), 2, 0))), 'yyyy-MM-dd')))</t>
  </si>
  <si>
    <t xml:space="preserve">E submitted Monday → SLA Due Date = Tuesday.</t>
  </si>
  <si>
    <t xml:space="preserve">S1-04</t>
  </si>
  <si>
    <t xml:space="preserve">Pay period + cutoff flag (used by type I)</t>
  </si>
  <si>
    <t xml:space="preserve">• Four Compose actions. Harmless for other change types.</t>
  </si>
  <si>
    <t xml:space="preserve">Pay Period Date:
    coalesce(triggerBody()?['StartDate'], triggerBody()?['EffectiveDate'])
Pay Period:
    concat(formatDateTime(outputs('Pay_Period_Date'), 'yyyy-MM'), if(lessOrEquals(dayOfMonth(outputs('Pay_Period_Date')), 15), ' (1-15)', ' (16-EOM)'))
Cutoff Date:
    addDays(startOfMonth(outputs('Pay_Period_Date')), sub(int(if(lessOrEquals(dayOfMonth(outputs('Pay_Period_Date')), 15), outputs('Settings')?['CutoffDay1'], outputs('Settings')?['CutoffDay2'])), 1))
After Cutoff:
    and(equals(outputs('Code'), 'I'), greater(ticks(outputs('Submitted_Local')), ticks(addDays(outputs('Cutoff_Date'), 1))))</t>
  </si>
  <si>
    <t xml:space="preserve">For E: After Cutoff = false.</t>
  </si>
  <si>
    <t xml:space="preserve">S1-05</t>
  </si>
  <si>
    <t xml:space="preserve">Write ID, title and SLA back to the item</t>
  </si>
  <si>
    <t xml:space="preserve">Inside Try → SharePoint → Update item</t>
  </si>
  <si>
    <t xml:space="preserve">• List: HR Change Requests · Id: ID (trigger).
• Required columns the action asks for: pick the SAME field from the trigger (it writes back what is already there).
• Do not set Status or ApprovalStatus here — column defaults cover intake and Flow 5 owns approvals.</t>
  </si>
  <si>
    <t xml:space="preserve">Title (fx):
    concat(triggerBody()?['ChangeType']?['Value'], ' — ', triggerBody()?['EmployeeName'])
RequestId (fx):
    outputs('Request_ID')
RequestedBy Claims (fx):
    triggerBody()?['Author']?['Email']
SLADueDate (fx):
    outputs('SLA_Due_Date')
NextActionDue (fx):
    outputs('SLA_Due_Date')
PayPeriod (fx):
    if(equals(outputs('Code'), 'I'), outputs('Pay_Period'), '')
AfterCutoff (fx):
    outputs('After_Cutoff')</t>
  </si>
  <si>
    <t xml:space="preserve">Item shows Request = 'E — Personal Data Change — &lt;name&gt;' and Request ID HRC-00000N.</t>
  </si>
  <si>
    <t xml:space="preserve">S1-06</t>
  </si>
  <si>
    <t xml:space="preserve">Default assignee (from Change Types)</t>
  </si>
  <si>
    <t xml:space="preserve">Inside Try → Control → Condition 'Default assignee?'</t>
  </si>
  <si>
    <t xml:space="preserve">• Left (fx) and(empty(triggerBody()?['Assignee']), not(empty(coalesce(outputs('Config')?['DefaultAssigneeEmail'], '')))) · is equal to · (fx) true
• True → Update item 'Set default assignee' (required columns from trigger).</t>
  </si>
  <si>
    <t xml:space="preserve">Assignee Claims (fx):
    outputs('Config')?['DefaultAssigneeEmail']</t>
  </si>
  <si>
    <t xml:space="preserve">A G request gets CJ as Assignee.</t>
  </si>
  <si>
    <t xml:space="preserve">S1-07</t>
  </si>
  <si>
    <t xml:space="preserve">Intake comment on the thread</t>
  </si>
  <si>
    <t xml:space="preserve">Inside Try — Comment pattern (Appendix B)</t>
  </si>
  <si>
    <t xml:space="preserve">• Add 'Display Name' Compose first (used by Slack too). Then the Comment pattern named 'Intake'.</t>
  </si>
  <si>
    <t xml:space="preserve">Display Name (Compose):
    if(equals(outputs('Config')?['Sensitive'], 'Yes'), '(confidential — see list)', triggerBody()?['EmployeeName'])
Intake text (Compose):
    📥 @{outputs('Request_ID')} received from @{triggerBody()?['Author']?['DisplayName']}. SLA target: @{coalesce(outputs('SLA_Due_Date'), outputs('Config')?['SLATarget'])}.@{if(outputs('After_Cutoff'), ' ⚠️ Submitted after the payroll cutoff for this pay period.', '')}
Post intake — Body (fx):
    setProperty(json('{}'), 'text', take(outputs('Intake_text'), 1900))</t>
  </si>
  <si>
    <t xml:space="preserve">Comment appears in the item's Comments pane.</t>
  </si>
  <si>
    <t xml:space="preserve">S1-08</t>
  </si>
  <si>
    <t xml:space="preserve">Ping the People Ops room</t>
  </si>
  <si>
    <t xml:space="preserve">Inside Try → Slack → Post message (V2)</t>
  </si>
  <si>
    <t xml:space="preserve">• Channel: People Ops room. Message text below.</t>
  </si>
  <si>
    <t xml:space="preserve">Message text:
    :inbox_tray: *New HR change request &lt;@{triggerBody()?['{Link}']}|@{outputs('Request_ID')}&gt;*
@{triggerBody()?['ChangeType']?['Value']} — @{outputs('Display_Name')}
Effective @{formatDateTime(triggerBody()?['EffectiveDate'], 'MMM d, yyyy')} • SLA target @{coalesce(outputs('SLA_Due_Date'), outputs('Config')?['SLATarget'])}@{if(outputs('After_Cutoff'), ' • :warning: after payroll cutoff', '')}</t>
  </si>
  <si>
    <t xml:space="preserve">Message posts; for A2/G the name shows '(confidential — see list)'.</t>
  </si>
  <si>
    <t xml:space="preserve">S1-09</t>
  </si>
  <si>
    <t xml:space="preserve">Confirmation to the submitter</t>
  </si>
  <si>
    <t xml:space="preserve">Inside Try → Office 365 Outlook → Send an email (V2)</t>
  </si>
  <si>
    <t xml:space="preserve">• Wording sets expectations without promising a date.</t>
  </si>
  <si>
    <t xml:space="preserve">To (fx):
    triggerBody()?['Author']?['Email']
Subject:
    We've got your request: @{outputs('Request_ID')}
Body:
    Hi @{triggerBody()?['Author']?['DisplayName']},
Thanks for using the HR front door. Your request @{outputs('Request_ID')} (@{triggerBody()?['ChangeType']?['Value']}) is in the People Ops queue.
Target completion: @{coalesce(outputs('SLA_Due_Date'), outputs('Config')?['SLATarget'])}. This is an automatic confirmation — a team member will pick it up and keep you posted.
Follow along here: @{triggerBody()?['{Link}']}
People Ops</t>
  </si>
  <si>
    <t xml:space="preserve">Email arrives.</t>
  </si>
  <si>
    <t xml:space="preserve">S1-10</t>
  </si>
  <si>
    <t xml:space="preserve">Add the Catch block</t>
  </si>
  <si>
    <t xml:space="preserve">Below Try (not inside)</t>
  </si>
  <si>
    <t xml:space="preserve">• Add the Try / Catch pattern (Appendix C).</t>
  </si>
  <si>
    <t xml:space="preserve">Catch  (Control → Scope) → ⋯ → Configure run after:
    Try: ☑ has failed  ☑ has timed out  (☐ is successful)
Failure alert  (Office 365 Outlook → Send an email (V2)) — To:
    your admin email (type it — don't depend on Settings here)
Subject:
    [HR Change] @{workflow()?['tags']?['flowDisplayName']} failed
Body:
    Open the failed run: @{concat('https://make.powerautomate.com/environments/', workflow()?['tags']?['environmentName'], '/flows/', workflow()?['name'], '/runs/', workflow()?['run']?['name'])}
Flag the item  (SharePoint → Update item, item-triggered flows only) — AutomationNote (fx):
    concat('⚠️ ', workflow()?['tags']?['flowDisplayName'], ' failed ', formatDateTime(utcNow(), 'yyyy-MM-dd HH:mm'), ' UTC — see admin email')</t>
  </si>
  <si>
    <t xml:space="preserve">Configure run after shows only 'has failed' and 'has timed out'.</t>
  </si>
  <si>
    <t xml:space="preserve">S1-11</t>
  </si>
  <si>
    <t xml:space="preserve">Test</t>
  </si>
  <si>
    <t xml:space="preserve">Test Flow 1</t>
  </si>
  <si>
    <t xml:space="preserve">Test → Manually → create an E request</t>
  </si>
  <si>
    <t xml:space="preserve">• Run T01 and T02 from the Test Pack.</t>
  </si>
  <si>
    <t xml:space="preserve">T01, T02 = Pass.</t>
  </si>
  <si>
    <t xml:space="preserve">S1-12</t>
  </si>
  <si>
    <t xml:space="preserve">Flow 2</t>
  </si>
  <si>
    <t xml:space="preserve">Create 'HR Change - 2 Checklist Router'</t>
  </si>
  <si>
    <t xml:space="preserve">Automated cloud flow</t>
  </si>
  <si>
    <t xml:space="preserve">• Trigger: SharePoint — When an item is created · List: HR Change Requests. (Separate from Flow 1 on purpose: one failing can't stop the other.)
• Add Scope 'Try' and the Standard opening block inside it.</t>
  </si>
  <si>
    <t xml:space="preserve">Saved.</t>
  </si>
  <si>
    <t xml:space="preserve">S1-13</t>
  </si>
  <si>
    <t xml:space="preserve">Read this change type's checklist</t>
  </si>
  <si>
    <t xml:space="preserve">• Excel → List rows present in a table 'Checklist rows': Table tblChecklist, Filter Query and Order By below.
• Data Operation → Filter array 'Active steps', advanced mode.</t>
  </si>
  <si>
    <t xml:space="preserve">Checklist rows — Filter Query:
    Code eq '@{outputs('Code')}'
Checklist rows — Order By:
    Step
Active steps — From (fx):
    outputs('Checklist_rows')?['body/value']
Active steps — advanced mode:
    @equals(item()?['Active'], 'Yes')</t>
  </si>
  <si>
    <t xml:space="preserve">For E: Active steps returns 5 rows.</t>
  </si>
  <si>
    <t xml:space="preserve">S1-14</t>
  </si>
  <si>
    <t xml:space="preserve">Build the checklist and post it</t>
  </si>
  <si>
    <t xml:space="preserve">Inside Try → Condition 'Has checklist'</t>
  </si>
  <si>
    <t xml:space="preserve">• Left (fx) length(body('Active_steps')) · is greater than · 0.
• True branch: two Selects (Map in text mode — the T icon), one Compose, Update item, Comment pattern 'Checklist'.</t>
  </si>
  <si>
    <t xml:space="preserve">Checklist lines — Select From (fx):
    body('Active_steps')
Checklist lines — Map (fx):
    concat('[ ] ', item()?['Step'], '. ', item()?['Task'], if(equals(item()?['AfterApproval'], 'Yes'), ' 🔒', ''), if(equals(item()?['DueOnLastDay'], 'Yes'), concat(' 📅 ', formatDateTime(coalesce(triggerBody()?['LastDay'], triggerBody()?['EffectiveDate']), 'MMM d')), ''), if(empty(item()?['Auto']), '', concat(' ⚙ ', item()?['Auto'])))
Comment lines — Select From (fx):
    body('Active_steps')
Comment lines — Map (fx):
    concat('☐ ', item()?['Step'], '. ', item()?['Task'], if(empty(item()?['Details']), '', concat(' — ', item()?['Details'])))
Checklist text (Compose, fx):
    join(body('Checklist_lines'), decodeUriComponent('%0A'))
Save checklist (Update item) — Checklist (fx):
    outputs('Checklist_text')
Save checklist — ChecklistProgress:
    0
Save checklist — NextAction (fx):
    concat(first(body('Active_steps'))?['Step'], '. ', first(body('Active_steps'))?['Task'])
Checklist text for the thread — 'Checklist comment text' (Compose):
    📋 @{outputs('Code')} checklist — @{length(body('Active_steps'))} steps. Tick them in the Checklist field by changing [ ] to [x].
@{join(body('Comment_lines'), decodeUriComponent('%0A'))}
Post checklist comment — Body (fx):
    setProperty(json('{}'), 'text', take(outputs('Checklist_comment_text'), 1900))</t>
  </si>
  <si>
    <t xml:space="preserve">E item: Checklist field has 5 '[ ]' lines; Next Action = '01. Confirm field(s) changing and new value'; checklist comment posted.</t>
  </si>
  <si>
    <t xml:space="preserve">S1-15</t>
  </si>
  <si>
    <t xml:space="preserve">Catch-all for 'Other'</t>
  </si>
  <si>
    <t xml:space="preserve">Condition 'Has checklist' → False branch</t>
  </si>
  <si>
    <t xml:space="preserve">• Comment pattern 'No template' + Slack post to the People Ops room.</t>
  </si>
  <si>
    <t xml:space="preserve">No template text (Compose):
    ⚠️ No checklist for change type @{outputs('Code')} — needs manual scoping. Set an Assignee and write the steps into the Checklist field.
Slack message:
    :warning: &lt;@{triggerBody()?['{Link}']}|@{outputs('Request_ID')}&gt; (@{triggerBody()?['ChangeType']?['Value']}) has no checklist — needs manual scoping.</t>
  </si>
  <si>
    <t xml:space="preserve">T04 passes.</t>
  </si>
  <si>
    <t xml:space="preserve">S1-16</t>
  </si>
  <si>
    <t xml:space="preserve">Catch block + test</t>
  </si>
  <si>
    <t xml:space="preserve">Below Try</t>
  </si>
  <si>
    <t xml:space="preserve">• Add the Catch pattern. Run T03 and T04.</t>
  </si>
  <si>
    <t xml:space="preserve">T03, T04 = Pass.</t>
  </si>
  <si>
    <t xml:space="preserve">S1-17</t>
  </si>
  <si>
    <t xml:space="preserve">Flow 4</t>
  </si>
  <si>
    <t xml:space="preserve">Create 'HR Change - 4 Completion Auto-Comment'</t>
  </si>
  <si>
    <t xml:space="preserve">• Trigger: SharePoint — When an item is created or modified · List: HR Change Requests.
• Trigger ⋯ → Settings → Trigger conditions (two lines). They make it fire once per resolution — the flow stamps Completion Date, so its own update can't re-fire it.
• Add Scope 'Try' + opening block (you can skip 'Request ID').</t>
  </si>
  <si>
    <t xml:space="preserve">Trigger condition 1:
    @equals(triggerBody()?['Status']?['Value'], '3-Resolved')
Trigger condition 2:
    @empty(triggerBody()?['CompletionDate'])
Settings row  (Excel Online (Business) → List rows present in a table):
    Location: your People Ops site · Document Library: Documents · File: HR Change/HR Change Reference.xlsx · Table: tblSettings
Settings  (Compose):
    first(outputs('Settings_row')?['body/value'])
Code  (Compose):
    first(split(triggerBody()?['ChangeType']?['Value'], ' '))
Change type row  (Excel → List rows present in a table) — Table: tblChangeTypes · Filter Query::
    Code eq '@{outputs('Code')}'
Config  (Compose):
    first(outputs('Change_type_row')?['body/value'])</t>
  </si>
  <si>
    <t xml:space="preserve">S1-18</t>
  </si>
  <si>
    <t xml:space="preserve">Work out outcome, resolver and the ticked checklist</t>
  </si>
  <si>
    <t xml:space="preserve">• Compose × 4, Select × 1, Filter array × 1.</t>
  </si>
  <si>
    <t xml:space="preserve">Outcome:
    coalesce(triggerBody()?['Outcome']?['Value'], 'Completed')
Resolver:
    coalesce(triggerBody()?['Assignee']?['DisplayName'], triggerBody()?['Editor']?['DisplayName'])
Today:
    convertFromUtc(utcNow(), outputs('Settings')?['TimeZone'])
Checklist before:
    split(replace(coalesce(triggerBody()?['Checklist'], ''), decodeUriComponent('%0D'), ''), decodeUriComponent('%0A'))
Checklist after — Select From (fx) / Map (fx):
    outputs('Checklist_before')   ·   if(and(startsWith(item(), '[ ]'), or(contains(item(), '⚙ resolution'), not(equals(outputs('Outcome'), 'Completed')))), concat(if(equals(outputs('Outcome'), 'Completed'), '[x]', '[–]'), substring(item(), 3)), item())
Still open — Filter array From (fx) / advanced:
    body('Checklist_after')   ·   @startsWith(item(), '[ ]')</t>
  </si>
  <si>
    <t xml:space="preserve">On an E resolve: Checklist after shows steps 03–05 as [x].</t>
  </si>
  <si>
    <t xml:space="preserve">S1-19</t>
  </si>
  <si>
    <t xml:space="preserve">Stamp completion and post ✅</t>
  </si>
  <si>
    <t xml:space="preserve">• Update item 'Stamp completion' (required columns from trigger), then Comment pattern 'Resolved'.</t>
  </si>
  <si>
    <t xml:space="preserve">CompletionDate (fx):
    formatDateTime(outputs('Today'), 'yyyy-MM-dd')
Outcome Value (fx):
    outputs('Outcome')
Checklist (fx):
    if(empty(triggerBody()?['Checklist']), '', join(body('Checklist_after'), decodeUriComponent('%0A')))
NextAction (fx):
    ''
Resolved text (Compose):
    ✅ Resolved on @{formatDateTime(outputs('Today'), 'MMM d, yyyy')} by @{outputs('Resolver')}@{if(equals(outputs('Outcome'), 'Completed'), '', concat(' (Outcome: ', outputs('Outcome'), ')'))}@{if(greater(length(body('Still_open')), 0), concat(' — note: ', string(length(body('Still_open'))), ' checklist step(s) were still open'), '')}</t>
  </si>
  <si>
    <t xml:space="preserve">Comment reads '✅ Resolved on &lt;date&gt; by &lt;assignee&gt;'.</t>
  </si>
  <si>
    <t xml:space="preserve">S1-20</t>
  </si>
  <si>
    <t xml:space="preserve">Close-the-loop + People Ops summary</t>
  </si>
  <si>
    <t xml:space="preserve">• Condition 'Close the loop?': Left (fx) or(equals(outputs('Config')?['CloseLoopEmail'], 'Yes'), not(equals(outputs('Outcome'), 'Completed'))) · is equal to · (fx) true → Send an email (V2).
• Condition 'Summary to People Ops?': Left (fx) equals(outputs('Config')?['PostSummaryToPeopleOps'], 'Yes') · is equal to · (fx) true → Slack Post message (V2) to the People Ops room.</t>
  </si>
  <si>
    <t xml:space="preserve">Email To (fx):
    coalesce(triggerBody()?['RequestedBy']?['Email'], triggerBody()?['Author']?['Email'])
Email Subject:
    Update on your HR request @{triggerBody()?['RequestId']}
Email Body:
    Hi @{coalesce(triggerBody()?['RequestedBy']?['DisplayName'], triggerBody()?['Author']?['DisplayName'])},
@{if(equals(outputs('Outcome'), 'Completed'), concat('Good news — your request ', triggerBody()?['RequestId'], ' (', triggerBody()?['ChangeType']?['Value'], ') is complete.'), concat('Your request ', triggerBody()?['RequestId'], ' (', triggerBody()?['ChangeType']?['Value'], ') was closed as ', outputs('Outcome'), '.'))}
@{if(empty(triggerBody()?['ApprovalHistory']), '', concat('Approval notes: ', triggerBody()?['ApprovalHistory']))}
Questions? Just reply in #lane-people-talent or open the request: @{triggerBody()?['{Link}']}
People Ops
Slack summary:
    :white_check_mark: *&lt;@{triggerBody()?['{Link}']}|@{triggerBody()?['RequestId']}&gt;* @{outputs('Code')} resolved by @{outputs('Resolver')} (@{outputs('Outcome')}).@{if(greater(length(body('Still_open')), 0), concat(' :warning: ', string(length(body('Still_open'))), ' step(s) still open.'), '')}</t>
  </si>
  <si>
    <t xml:space="preserve">T05 passes.</t>
  </si>
  <si>
    <t xml:space="preserve">S1-21</t>
  </si>
  <si>
    <t xml:space="preserve">• Catch pattern. Run T05.</t>
  </si>
  <si>
    <t xml:space="preserve">T05 = Pass.</t>
  </si>
  <si>
    <t xml:space="preserve">S1-22</t>
  </si>
  <si>
    <t xml:space="preserve">Live E submission</t>
  </si>
  <si>
    <t xml:space="preserve">Real request</t>
  </si>
  <si>
    <t xml:space="preserve">• Johanna submits one real Personal Data Change, works the checklist and resolves it (T06).</t>
  </si>
  <si>
    <t xml:space="preserve">Gate G1 checklist complete.</t>
  </si>
  <si>
    <t xml:space="preserve">S2-01</t>
  </si>
  <si>
    <t xml:space="preserve">Flow 5</t>
  </si>
  <si>
    <t xml:space="preserve">Create 'HR Change - 5 Approval Routing'</t>
  </si>
  <si>
    <t xml:space="preserve">• Trigger: When an item is created · List: HR Change Requests.
• BEFORE the Try scope (variables can't live inside a scope): Initialize variable 'Outcome' (String) = Approved; Initialize variable 'History' (String) = empty.
• Then Scope 'Try' + opening block.</t>
  </si>
  <si>
    <t xml:space="preserve">S2-02</t>
  </si>
  <si>
    <t xml:space="preserve">Read the approval chain</t>
  </si>
  <si>
    <t xml:space="preserve">• Filter array 'Stages'; Condition 'Needs approval' (Left fx length(body('Stages')) · is greater than · 0). Everything below goes in its True branch.</t>
  </si>
  <si>
    <t xml:space="preserve">Stages — From (fx):
    split(replace(coalesce(outputs('Config')?['ApprovalChain'], ''), ' ', ''), '&gt;')
Stages — advanced:
    @not(empty(item()))</t>
  </si>
  <si>
    <t xml:space="preserve">For I: Stages = ["HR"]. For E: empty → nothing happens.</t>
  </si>
  <si>
    <t xml:space="preserve">S2-03</t>
  </si>
  <si>
    <t xml:space="preserve">Mark the request as waiting</t>
  </si>
  <si>
    <t xml:space="preserve">True branch</t>
  </si>
  <si>
    <t xml:space="preserve">• Excel List rows 'Approvers rows' (Table tblApprovers, no filter).
• Update item 'Mark pending' (required columns from trigger).</t>
  </si>
  <si>
    <t xml:space="preserve">ApprovalStatus Value:
    Pending
Status Value:
    2-Waiting
WaitingOn Value:
    Approver</t>
  </si>
  <si>
    <t xml:space="preserve">Item shows 2-Waiting / Pending / Approver.</t>
  </si>
  <si>
    <t xml:space="preserve">S2-04</t>
  </si>
  <si>
    <t xml:space="preserve">Loop the stages one at a time</t>
  </si>
  <si>
    <t xml:space="preserve">True branch → Apply to each 'Each stage'</t>
  </si>
  <si>
    <t xml:space="preserve">• Select an output (fx): body('Stages').
• ⚠️ Each stage ⋯ → Settings → Concurrency control ON, Degree of parallelism = 1.
• Inside the loop: Condition 'Still approved' — Left (fx) variables('Outcome') · is equal to · Approved. Steps S2-05 to S2-07 go in its True branch.</t>
  </si>
  <si>
    <t xml:space="preserve">Concurrency shows 1.</t>
  </si>
  <si>
    <t xml:space="preserve">S2-05</t>
  </si>
  <si>
    <t xml:space="preserve">Find the approver for this stage</t>
  </si>
  <si>
    <t xml:space="preserve">Still approved → True</t>
  </si>
  <si>
    <t xml:space="preserve">• Filter array 'This region' and 'Any region' (From fx outputs('Approvers_rows')?['body/value']), then Compose 'Approver'.</t>
  </si>
  <si>
    <t xml:space="preserve">This region — advanced:
    @and(equals(item()?['Role'], items('Each_stage')), equals(item()?['Active'], 'Yes'), equals(toLower(trim(item()?['Region'])), toLower(trim(coalesce(triggerBody()?['Region']?['Value'], '')))))
Any region — advanced:
    @and(equals(item()?['Role'], items('Each_stage')), equals(item()?['Active'], 'Yes'), equals(trim(item()?['Region']), '*'))
Approver (Compose):
    if(equals(items('Each_stage'), 'Manager'), coalesce(triggerBody()?['Manager']?['Email'], ''), coalesce(first(body('This_region'))?['ApproverEmail'], first(body('Any_region'))?['ApproverEmail'], ''))</t>
  </si>
  <si>
    <t xml:space="preserve">For I: Approver = the HR row's email.</t>
  </si>
  <si>
    <t xml:space="preserve">S2-06</t>
  </si>
  <si>
    <t xml:space="preserve">Ask, record, and stop on reject</t>
  </si>
  <si>
    <t xml:space="preserve">Condition 'Approver found' (Left fx empty(outputs('Approver')) · is equal to · fx false) → True</t>
  </si>
  <si>
    <t xml:space="preserve">• Update item 'Show approver'; Approvals → Start and wait for an approval 'Approval' (Approve/Reject – First to respond); Append to string variable 'History'; Comment pattern 'Decision'; Condition 'Rejected?' (Left fx outputs('Approval')?['body/outcome'] · is equal to · Reject) → True: Set variable Outcome = Rejected.</t>
  </si>
  <si>
    <t xml:space="preserve">Show approver — CurrentApprover:
    @{items('Each_stage')}: @{outputs('Approver')}
Approval — Title:
    @{items('Each_stage')} approval: @{triggerBody()?['ChangeType']?['Value']} — @{triggerBody()?['EmployeeName']} [@{outputs('Request_ID')}]
Approval — Assigned to (fx):
    outputs('Approver')
Approval — Details:
    **Employee:** @{triggerBody()?['EmployeeName']} (@{triggerBody()?['EmployeeId']})
**Change type:** @{triggerBody()?['ChangeType']?['Value']}
**Effective date:** @{formatDateTime(triggerBody()?['EffectiveDate'], 'MMM d, yyyy')}
**Job change:** @{triggerBody()?['NewTitle']} @{triggerBody()?['NewDepartment']} @{triggerBody()?['NewLocation']} @{triggerBody()?['EmploymentStatus']?['Value']}
**Comp:** @{triggerBody()?['NewRate']} @{triggerBody()?['EffectivePayPeriod']}
**Extra shift:** @{triggerBody()?['DatesWorked']} @{triggerBody()?['ShiftType']?['Value']} @{triggerBody()?['RateType']?['Value']} @{triggerBody()?['RateAmount']} × @{triggerBody()?['HoursOrDays']} — pay period @{triggerBody()?['PayPeriod']}
**Notes:** @{triggerBody()?['Notes']}
Approval — Item link (fx) / description:
    triggerBody()?['{Link}']   ·   Open @{outputs('Request_ID')}
History — value (end with Enter):
    @{items('Each_stage')}: @{if(equals(outputs('Approval')?['body/outcome'], 'Approve'), 'Approved', 'Rejected')} by @{first(outputs('Approval')?['body/responses'])?['responder']?['displayName']} on @{formatDateTime(convertFromUtc(utcNow(), outputs('Settings')?['TimeZone']), 'MMM d, yyyy')}@{if(empty(first(outputs('Approval')?['body/responses'])?['comments']), '', concat(' — ', first(outputs('Approval')?['body/responses'])?['comments']))}
Decision text (Compose):
    @{if(equals(outputs('Approval')?['body/outcome'], 'Approve'), '👍', '👎')} @{items('Each_stage')} @{if(equals(outputs('Approval')?['body/outcome'], 'Approve'), 'approved', 'rejected')} by @{first(outputs('Approval')?['body/responses'])?['responder']?['displayName']}@{if(empty(first(outputs('Approval')?['body/responses'])?['comments']), '', concat(': ', first(outputs('Approval')?['body/responses'])?['comments']))}</t>
  </si>
  <si>
    <t xml:space="preserve">Approval email arrives; decision comment appears.</t>
  </si>
  <si>
    <t xml:space="preserve">S2-07</t>
  </si>
  <si>
    <t xml:space="preserve">No approver found</t>
  </si>
  <si>
    <t xml:space="preserve">Condition 'Approver found' → False</t>
  </si>
  <si>
    <t xml:space="preserve">• Set variable Outcome = NoApprover; Slack post to the People Ops room.</t>
  </si>
  <si>
    <t xml:space="preserve">Slack message:
    :rotating_light: &lt;@{triggerBody()?['{Link}']}|@{outputs('Request_ID')}&gt; needs a *@{items('Each_stage')}* approver but none was found (Manager empty, or no active Approvers row for this role/region).</t>
  </si>
  <si>
    <t xml:space="preserve">T16 passes (Sprint 3).</t>
  </si>
  <si>
    <t xml:space="preserve">S2-08</t>
  </si>
  <si>
    <t xml:space="preserve">Save the result after the loop</t>
  </si>
  <si>
    <t xml:space="preserve">Needs approval → True, AFTER the loop</t>
  </si>
  <si>
    <t xml:space="preserve">• SharePoint Get item 'Request now' (Id = trigger ID). Select 'Approval ticks'. Update item 'Save approval result' (required columns from Request now). Comment pattern 'Result'.</t>
  </si>
  <si>
    <t xml:space="preserve">Approval ticks — From (fx):
    split(replace(coalesce(outputs('Request_now')?['body/Checklist'], ''), decodeUriComponent('%0D'), ''), decodeUriComponent('%0A'))
Approval ticks — Map (fx):
    if(and(startsWith(item(), '[ ]'), contains(item(), '⚙ approval')), concat('[x]', substring(item(), 3)), item())
ApprovalStatus Value (fx):
    if(equals(variables('Outcome'), 'Approved'), 'Approved', if(equals(variables('Outcome'), 'Rejected'), 'Rejected', 'Needs approver'))
Status Value (fx):
    if(equals(variables('Outcome'), 'Rejected'), '3-Resolved', if(equals(variables('Outcome'), 'NoApprover'), '2-Waiting', if(empty(outputs('Request_now')?['body/Assignee']), '0-New', '1-Assigned')))
Outcome Value (fx):
    if(equals(variables('Outcome'), 'Rejected'), 'Rejected', outputs('Request_now')?['body/Outcome']?['Value'])
WaitingOn Value (fx):
    if(equals(variables('Outcome'), 'NoApprover'), 'Approver', null)
CurrentApprover (fx) / ApprovalHistory (fx):
    ''   ·   variables('History')
Checklist (fx):
    if(or(equals(variables('Outcome'), 'NoApprover'), empty(outputs('Request_now')?['body/Checklist'])), outputs('Request_now')?['body/Checklist'], join(body('Approval_ticks'), decodeUriComponent('%0A')))
Result text (Compose):
    @{if(equals(variables('Outcome'), 'Approved'), concat('🔓 Approved (', join(body('Stages'), ' → '), '). 🔒 steps can start now.'), if(equals(variables('Outcome'), 'Rejected'), '⛔ Rejected — case closed as Rejected; the requester will be told.', '⚠️ Approval stopped: no approver found. Fix the Manager field or the Approvers table, then approve offline and log it here.'))}</t>
  </si>
  <si>
    <t xml:space="preserve">T07: after approving, ApprovalStatus = Approved and step 01 is [x].</t>
  </si>
  <si>
    <t xml:space="preserve">S2-09</t>
  </si>
  <si>
    <t xml:space="preserve">Catch block</t>
  </si>
  <si>
    <t xml:space="preserve">• Catch pattern.</t>
  </si>
  <si>
    <t xml:space="preserve">S2-10</t>
  </si>
  <si>
    <t xml:space="preserve">Flow 3</t>
  </si>
  <si>
    <t xml:space="preserve">Create 'HR Change - 3 Payroll Notification' (Template I only)</t>
  </si>
  <si>
    <t xml:space="preserve">• Trigger: When an item is created or modified · List: HR Change Requests. Trigger conditions (4 lines) below.
• Try: Settings row + Settings; Slack post to the Payroll room; Update item 'Mark payroll notified'; Comment pattern 'Payroll'. Then Catch.
• One-way FYI: it never waits for Payroll (decision D5).</t>
  </si>
  <si>
    <t xml:space="preserve">Trigger condition 1:
    @equals(triggerBody()?['Status']?['Value'], '3-Resolved')
Trigger condition 2:
    @startsWith(triggerBody()?['ChangeType']?['Value'], 'I ')
Trigger condition 3:
    @empty(triggerBody()?['PayrollNotifiedOn'])
Trigger condition 4:
    @not(equals(triggerBody()?['Outcome']?['Value'], 'Rejected'))
Slack message (Payroll room):
    :moneybag: *Extra shift earning submitted in Paycor* — &lt;@{triggerBody()?['{Link}']}|@{triggerBody()?['RequestId']}&gt;
Employee: @{triggerBody()?['EmployeeName']} (@{triggerBody()?['EmployeeId']})
Dates worked: @{coalesce(triggerBody()?['DatesWorked'], '-')} • Shift: @{coalesce(triggerBody()?['ShiftType']?['Value'], '-')}
Rate: @{coalesce(triggerBody()?['RateType']?['Value'], '-')} @{coalesce(string(triggerBody()?['RateAmount']), '')} • Hours/days: @{coalesce(string(triggerBody()?['HoursOrDays']), '-')}
Pay period: @{coalesce(triggerBody()?['PayPeriod'], '-')}@{if(equals(triggerBody()?['AfterCutoff'], true), ' :warning: submitted after cutoff', '')}
_FYI — please verify the earning in Paycor. No response needed._
Mark payroll notified — PayrollNotifiedOn (fx):
    formatDateTime(convertFromUtc(utcNow(), outputs('Settings')?['TimeZone']), 'yyyy-MM-dd')
Payroll text (Compose):
    💰 Payroll notified to verify the Paycor earning (FYI — not a gate).</t>
  </si>
  <si>
    <t xml:space="preserve">T10 passes.</t>
  </si>
  <si>
    <t xml:space="preserve">S2-11</t>
  </si>
  <si>
    <t xml:space="preserve">Template I pilot tests</t>
  </si>
  <si>
    <t xml:space="preserve">Test Pack</t>
  </si>
  <si>
    <t xml:space="preserve">• Run T07, T08, T09, T10.</t>
  </si>
  <si>
    <t xml:space="preserve">All pass.</t>
  </si>
  <si>
    <t xml:space="preserve">S2-12</t>
  </si>
  <si>
    <t xml:space="preserve">LOA and offboarding paths</t>
  </si>
  <si>
    <t xml:space="preserve">• Run T11, T12, T13.</t>
  </si>
  <si>
    <t xml:space="preserve">S2-13</t>
  </si>
  <si>
    <t xml:space="preserve">Launch</t>
  </si>
  <si>
    <t xml:space="preserve">Open the front door</t>
  </si>
  <si>
    <t xml:space="preserve">Slack + Outlook</t>
  </si>
  <si>
    <t xml:space="preserve">• Pin the IntakeFormUrl in #lane-people-talent as the official front door (use the announcement text in Appendix D).
• HR mailbox: set an automatic reply that points to the form (inspiration: email → form, no flow needed).
• Tell managers: 'Not in the intake, does not exist.'</t>
  </si>
  <si>
    <t xml:space="preserve">Pinned; auto-reply on; announcement sent.</t>
  </si>
  <si>
    <t xml:space="preserve">S2-14</t>
  </si>
  <si>
    <t xml:space="preserve">First real Template I case</t>
  </si>
  <si>
    <t xml:space="preserve">Live</t>
  </si>
  <si>
    <t xml:space="preserve">• Process the next real extra-shift submission end to end: HR approval → Paycor single event earning → resolve → Payroll FYI.</t>
  </si>
  <si>
    <t xml:space="preserve">Gate G2 checklist complete.</t>
  </si>
  <si>
    <t xml:space="preserve">S3-01</t>
  </si>
  <si>
    <t xml:space="preserve">Approval matrix sign-off</t>
  </si>
  <si>
    <t xml:space="preserve">Stakeholders</t>
  </si>
  <si>
    <t xml:space="preserve">• Get written sign-off on who approves B, C, F by region.</t>
  </si>
  <si>
    <t xml:space="preserve">Dependency marked Confirmed.</t>
  </si>
  <si>
    <t xml:space="preserve">S3-02</t>
  </si>
  <si>
    <t xml:space="preserve">Switch on B, C, F approvals</t>
  </si>
  <si>
    <t xml:space="preserve">HR Change Reference.xlsx → Change Types + Approvers</t>
  </si>
  <si>
    <t xml:space="preserve">• ApprovalChain: B = 'Manager &gt; Regional', C = 'Manager &gt; Regional &gt; HR', F = 'Manager'.
• Add Approvers rows per region.</t>
  </si>
  <si>
    <t xml:space="preserve">Next B request starts a Manager approval (no flow edit needed).</t>
  </si>
  <si>
    <t xml:space="preserve">S3-03</t>
  </si>
  <si>
    <t xml:space="preserve">Flow 6</t>
  </si>
  <si>
    <t xml:space="preserve">Create 'HR Change - 6 Checklist Progress'</t>
  </si>
  <si>
    <t xml:space="preserve">• Trigger: When an item is created or modified · List: HR Change Requests. Trigger condition below. Trigger Settings → Concurrency control ON, degree 1.
• Try: Compose 'Lines', Filter 'Open steps', Filter 'Done steps', Compose 'Progress', Compose 'Next action', Condition 'Changed' → Update item + Condition 'Just finished' → Comment pattern 'Ready' + Slack. Then Catch.
• Compare-before-write: the flow only updates when something changed, so its own update ends the loop after one extra run.</t>
  </si>
  <si>
    <t xml:space="preserve">Trigger condition:
    @not(empty(triggerBody()?['Checklist']))
Lines (Compose):
    split(replace(triggerBody()?['Checklist'], decodeUriComponent('%0D'), ''), decodeUriComponent('%0A'))
Open steps — From / advanced:
    outputs('Lines')   ·   @startsWith(trim(item()), '[ ]')
Done steps — From / advanced:
    outputs('Lines')   ·   @startsWith(toLower(trim(item())), '[x]')
Progress (Compose):
    if(equals(add(length(body('Open_steps')), length(body('Done_steps'))), 0), 0, div(mul(length(body('Done_steps')), 100), add(length(body('Open_steps')), length(body('Done_steps')))))
Next action (Compose):
    if(empty(body('Open_steps')), '', take(trim(substring(trim(first(body('Open_steps'))), 3)), 250))
Changed — Left (fx) · is equal to · true:
    or(not(equals(float(outputs('Progress')), float(coalesce(triggerBody()?['ChecklistProgress'], 0)))), not(equals(outputs('Next_action'), coalesce(triggerBody()?['NextAction'], ''))))
Update item — ChecklistProgress (fx) / NextAction (fx):
    outputs('Progress')   ·   outputs('Next_action')
Just finished — Left (fx) · is equal to · true:
    and(equals(outputs('Progress'), 100), less(float(coalesce(triggerBody()?['ChecklistProgress'], 0)), 100), not(equals(triggerBody()?['Status']?['Value'], '3-Resolved')))
Ready text (Compose):
    ☑️ All checklist steps are done — set Status to 3-Resolved to close the case (LOA: only once the return is confirmed).
Slack message:
    :ballot_box_with_check: All steps done on &lt;@{triggerBody()?['{Link}']}|@{triggerBody()?['RequestId']}&gt; — @{coalesce(triggerBody()?['Assignee']?['DisplayName'], 'owner')}, ready to resolve.</t>
  </si>
  <si>
    <t xml:space="preserve">T17 passes.</t>
  </si>
  <si>
    <t xml:space="preserve">S3-04</t>
  </si>
  <si>
    <t xml:space="preserve">Approval and progress tests</t>
  </si>
  <si>
    <t xml:space="preserve">• Run T14, T15, T16, T17, T22.</t>
  </si>
  <si>
    <t xml:space="preserve">S3-05</t>
  </si>
  <si>
    <t xml:space="preserve">UAT with Johanna</t>
  </si>
  <si>
    <t xml:space="preserve">Every path A1–I</t>
  </si>
  <si>
    <t xml:space="preserve">• Submit one of each change type; work and resolve each. Log issues in the Notes column.</t>
  </si>
  <si>
    <t xml:space="preserve">Gate G3 checklist complete.</t>
  </si>
  <si>
    <t xml:space="preserve">S4-01</t>
  </si>
  <si>
    <t xml:space="preserve">Flow 7</t>
  </si>
  <si>
    <t xml:space="preserve">Create 'HR Change - 7 Daily Digest + Cutoff Reminder'</t>
  </si>
  <si>
    <t xml:space="preserve">Scheduled cloud flow — every 1 day at 8:00 (your time zone)</t>
  </si>
  <si>
    <t xml:space="preserve">• Try: Settings row + Settings; Compose 'Today' and 'Today key'; Excel List rows 'Change types' (tblChangeTypes); Filter 'Sensitive types'; Select 'Sensitive codes'; SharePoint Get items 'Open requests'.</t>
  </si>
  <si>
    <t xml:space="preserve">Today / Today key:
    convertFromUtc(utcNow(), outputs('Settings')?['TimeZone'])   ·   formatDateTime(outputs('Today'), 'yyyyMMdd')
Sensitive types — From / advanced:
    outputs('Change_types')?['body/value']   ·   @equals(item()?['Sensitive'], 'Yes')
Sensitive codes — Select From / Map (text mode):
    body('Sensitive_types')   ·   item()?['Code']
Open requests — Filter Query / Order By / Top Count:
    Status ne '3-Resolved'   ·   SLADueDate asc   ·   5000</t>
  </si>
  <si>
    <t xml:space="preserve">Run manually: Open requests returns your test items.</t>
  </si>
  <si>
    <t xml:space="preserve">S4-02</t>
  </si>
  <si>
    <t xml:space="preserve">Digest sections</t>
  </si>
  <si>
    <t xml:space="preserve">• Five Filter arrays named exactly as below (From fx outputs('Open_requests')?['body/value']), and one Select per filter named '&lt;filter&gt; lines' (e.g. 'SLA overdue lines', From fx body('SLA_overdue')) using the same Map. Then Condition 'Weekday with news' → Slack post to the People Ops room.</t>
  </si>
  <si>
    <t xml:space="preserve">Unassigned:
    @equals(item()?['Status']?['Value'], '0-New')
SLA overdue:
    @and(not(empty(item()?['SLADueDate'])), less(formatDateTime(item()?['SLADueDate'], 'yyyyMMdd'), outputs('Today_key')))
Action due:
    @and(not(empty(item()?['NextActionDue'])), lessOrEquals(formatDateTime(item()?['NextActionDue'], 'yyyyMMdd'), outputs('Today_key')))
Exceptions:
    @not(empty(item()?['AutomationNote']))
LOA returns:
    @and(startsWith(coalesce(item()?['ChangeType']?['Value'], ''), 'G '), not(empty(item()?['EndDate'])), lessOrEquals(ticks(item()?['EndDate']), ticks(addDays(utcNow(), 7))))
Line Map for every Select (text mode):
    concat('• &lt;', item()?['{Link}'], '|', item()?['RequestId'], '&gt; ', first(split(item()?['ChangeType']?['Value'], ' ')), ' — ', if(contains(body('Sensitive_codes'), first(split(item()?['ChangeType']?['Value'], ' '))), '(confidential)', item()?['EmployeeName']), ' — ', coalesce(item()?['Assignee']?['DisplayName'], 'unassigned'), if(empty(item()?['NextAction']), '', concat(' — next: ', item()?['NextAction'])))
Weekday with news — Left (fx) · is equal to · true:
    and(greater(dayOfWeek(outputs('Today')), 0), less(dayOfWeek(outputs('Today')), 6), greater(add(add(add(length(body('Unassigned')), length(body('SLA_overdue'))), add(length(body('Action_due')), length(body('Exceptions')))), length(body('LOA_returns'))), 0))
Slack message:
    :bar_chart: *HR Change — daily check* (@{length(outputs('Open_requests')?['body/value'])} open)
@{if(empty(body('Unassigned_lines')), '', concat('*:white_circle: 0-New, not picked up*', decodeUriComponent('%0A'), join(body('Unassigned_lines'), decodeUriComponent('%0A')), decodeUriComponent('%0A')))}@{if(empty(body('SLA_overdue_lines')), '', concat('*:red_circle: SLA overdue*', decodeUriComponent('%0A'), join(body('SLA_overdue_lines'), decodeUriComponent('%0A')), decodeUriComponent('%0A')))}@{if(empty(body('Action_due_lines')), '', concat('*:large_yellow_circle: Next action due*', decodeUriComponent('%0A'), join(body('Action_due_lines'), decodeUriComponent('%0A')), decodeUriComponent('%0A')))}@{if(empty(body('Exceptions_lines')), '', concat('*:warning: Automation exceptions*', decodeUriComponent('%0A'), join(body('Exceptions_lines'), decodeUriComponent('%0A')), decodeUriComponent('%0A')))}@{if(empty(body('LOA_returns_lines')), '', concat('*:calendar: LOA returns within 7 days*', decodeUriComponent('%0A'), join(body('LOA_returns_lines'), decodeUriComponent('%0A'))))}</t>
  </si>
  <si>
    <t xml:space="preserve">T18 passes.</t>
  </si>
  <si>
    <t xml:space="preserve">S4-03</t>
  </si>
  <si>
    <t xml:space="preserve">Payroll cutoff reminder</t>
  </si>
  <si>
    <t xml:space="preserve">• Compose 'Cutoff days'; Select 'This month cutoffs' and 'Next month cutoffs' (Map text mode); Filter 'Remind today'; Condition (length &gt; 0) → Slack post to the managers channel. Then Catch (email only).</t>
  </si>
  <si>
    <t xml:space="preserve">Cutoff days (Compose):
    createArray(int(outputs('Settings')?['CutoffDay1']), int(outputs('Settings')?['CutoffDay2']))
This month cutoffs — Map:
    formatDateTime(addDays(startOfMonth(outputs('Today')), sub(item(), 1)), 'yyyy-MM-dd')
Next month cutoffs — Map:
    formatDateTime(addDays(startOfMonth(addToTime(outputs('Today'), 1, 'Month')), sub(item(), 1)), 'yyyy-MM-dd')
Remind today — From (fx):
    union(body('This_month_cutoffs'), body('Next_month_cutoffs'))
Remind today — advanced:
    @equals(formatDateTime(outputs('Today'), 'yyyy-MM-dd'), formatDateTime(addDays(addDays(item(), mul(int(outputs('Settings')?['ReminderBusinessDays']), -1)), if(equals(dayOfWeek(addDays(item(), mul(int(outputs('Settings')?['ReminderBusinessDays']), -1))), 6), -1, if(equals(dayOfWeek(addDays(item(), mul(int(outputs('Settings')?['ReminderBusinessDays']), -1))), 0), -2, 0))), 'yyyy-MM-dd'))
Slack message (managers):
    :alarm_clock: *Payroll cutoff is @{formatDateTime(first(body('Remind_today')), 'dddd, MMM d')}.* Any extra shifts or fractional FTE pickups to report for this pay period? Submit them as *I — Fractional FTE / Extra Shift Pickup*: &lt;@{outputs('Settings')?['IntakeFormUrl']}|HR change request form&gt;</t>
  </si>
  <si>
    <t xml:space="preserve">T19 passes.</t>
  </si>
  <si>
    <t xml:space="preserve">S4-04</t>
  </si>
  <si>
    <t xml:space="preserve">Exception drill</t>
  </si>
  <si>
    <t xml:space="preserve">• Run T20: make one action fail on purpose, confirm the alert, the Automation Note and the digest Exceptions line, then undo.</t>
  </si>
  <si>
    <t xml:space="preserve">T20 = Pass.</t>
  </si>
  <si>
    <t xml:space="preserve">S4-05</t>
  </si>
  <si>
    <t xml:space="preserve">Operate</t>
  </si>
  <si>
    <t xml:space="preserve">Two weeks of steady operation</t>
  </si>
  <si>
    <t xml:space="preserve">Views + digest</t>
  </si>
  <si>
    <t xml:space="preserve">• Use the digest every morning. Redirect any request raised in DMs/email to the form.
• End of week 2: review All Open by SLA and Recently Resolved for the SLA baseline.</t>
  </si>
  <si>
    <t xml:space="preserve">Gate G4 checklist complete.</t>
  </si>
  <si>
    <t xml:space="preserve">S5-01</t>
  </si>
  <si>
    <t xml:space="preserve">Downstream</t>
  </si>
  <si>
    <t xml:space="preserve">Jira ticket for offboarding (A1/A2)</t>
  </si>
  <si>
    <t xml:space="preserve">New flow or a branch in Flow 1</t>
  </si>
  <si>
    <t xml:space="preserve">• When the IT dependency is confirmed: on A1/A2 create → Jira 'Create a new issue' (access revocation + equipment retrieval) → write the issue URL to JiraLink → comment.
• In the Checklists table set Auto = 'jira' on the 'Create Jira ticket' steps and tick them in the same flow.</t>
  </si>
  <si>
    <t xml:space="preserve">A test A1 creates a Jira issue and fills Jira Ticket Link.</t>
  </si>
  <si>
    <t xml:space="preserve">S5-02</t>
  </si>
  <si>
    <t xml:space="preserve">Offboarding distro email</t>
  </si>
  <si>
    <t xml:space="preserve">Flow 1 branch</t>
  </si>
  <si>
    <t xml:space="preserve">• When the distro address is confirmed: A1 → email the distro at intake. A2 stays manual (timing-sensitive access revocation).</t>
  </si>
  <si>
    <t xml:space="preserve">Test A1 emails the distro.</t>
  </si>
  <si>
    <t xml:space="preserve">S5-03</t>
  </si>
  <si>
    <t xml:space="preserve">Word letters</t>
  </si>
  <si>
    <t xml:space="preserve">Word Online (Business) → Populate a Microsoft Word template (premium)</t>
  </si>
  <si>
    <t xml:space="preserve">• Termination letter (A2), comp change confirmation (C), job change confirmation (B). Save to the HR file; attach to the item.</t>
  </si>
  <si>
    <t xml:space="preserve">Generated letter opens correctly.</t>
  </si>
  <si>
    <t xml:space="preserve">S5-04</t>
  </si>
  <si>
    <t xml:space="preserve">Monday.com payroll board + backfill link</t>
  </si>
  <si>
    <t xml:space="preserve">Monday connector</t>
  </si>
  <si>
    <t xml:space="preserve">• When the board/column is confirmed: post A1/A2 final pay and C rate changes to the payroll board; send the backfill form link to the manager on A1.</t>
  </si>
  <si>
    <t xml:space="preserve">Item appears on the board.</t>
  </si>
  <si>
    <t xml:space="preserve">S6-01</t>
  </si>
  <si>
    <t xml:space="preserve">Manager self-service form</t>
  </si>
  <si>
    <t xml:space="preserve">Microsoft Forms → flow → same list</t>
  </si>
  <si>
    <t xml:space="preserve">• Scoped types (e.g. E, F, I), readiness checklist first.</t>
  </si>
  <si>
    <t xml:space="preserve">S6-02</t>
  </si>
  <si>
    <t xml:space="preserve">Dashboard</t>
  </si>
  <si>
    <t xml:space="preserve">List views → Power BI (optional)</t>
  </si>
  <si>
    <t xml:space="preserve">• Open by age, SLA compliance, change-type breakdown.</t>
  </si>
  <si>
    <t xml:space="preserve">S6-03</t>
  </si>
  <si>
    <t xml:space="preserve">In-Slack approvals</t>
  </si>
  <si>
    <t xml:space="preserve">Bot token</t>
  </si>
  <si>
    <t xml:space="preserve">• Replace email approvals with Slack buttons once the bot token is approved.</t>
  </si>
  <si>
    <t xml:space="preserve">S6-04</t>
  </si>
  <si>
    <t xml:space="preserve">Paycor write-back</t>
  </si>
  <si>
    <t xml:space="preserve">Paycor iPaaS</t>
  </si>
  <si>
    <t xml:space="preserve">• Auto-write approved changes instead of manual entry.</t>
  </si>
  <si>
    <t xml:space="preserve">S6-05</t>
  </si>
  <si>
    <t xml:space="preserve">Holiday-aware SLA</t>
  </si>
  <si>
    <t xml:space="preserve">Reference workbook</t>
  </si>
  <si>
    <t xml:space="preserve">• Add a tblHolidays table and skip those dates in Flow 1.</t>
  </si>
  <si>
    <t xml:space="preserve">Reusable blocks</t>
  </si>
  <si>
    <t xml:space="preserve">Built the same way in several flows. The steps say 'add the … block'.</t>
  </si>
  <si>
    <t xml:space="preserve">Block</t>
  </si>
  <si>
    <t xml:space="preserve">Action / field</t>
  </si>
  <si>
    <t xml:space="preserve">Value / expression</t>
  </si>
  <si>
    <t xml:space="preserve">Standard opening block</t>
  </si>
  <si>
    <t xml:space="preserve">Settings row  (Excel Online (Business) → List rows present in a table)</t>
  </si>
  <si>
    <t xml:space="preserve">Location: your People Ops site · Document Library: Documents · File: HR Change/HR Change Reference.xlsx · Table: tblSettings</t>
  </si>
  <si>
    <t xml:space="preserve">Settings  (Compose)</t>
  </si>
  <si>
    <t xml:space="preserve">first(outputs('Settings_row')?['body/value'])</t>
  </si>
  <si>
    <t xml:space="preserve">Code  (Compose)</t>
  </si>
  <si>
    <t xml:space="preserve">first(split(triggerBody()?['ChangeType']?['Value'], ' '))</t>
  </si>
  <si>
    <t xml:space="preserve">Change type row  (Excel → List rows present in a table) — Table: tblChangeTypes · Filter Query:</t>
  </si>
  <si>
    <t xml:space="preserve">Code eq '@{outputs('Code')}'</t>
  </si>
  <si>
    <t xml:space="preserve">Config  (Compose)</t>
  </si>
  <si>
    <t xml:space="preserve">first(outputs('Change_type_row')?['body/value'])</t>
  </si>
  <si>
    <t xml:space="preserve">Request ID  (Compose)</t>
  </si>
  <si>
    <t xml:space="preserve">concat(outputs('Settings')?['RequestPrefix'], formatNumber(triggerBody()?['ID'], '000000'))</t>
  </si>
  <si>
    <t xml:space="preserve">Comment pattern (post to the item's thread)</t>
  </si>
  <si>
    <t xml:space="preserve">&lt;Name&gt; text  (Compose) — type the message; insert @{…} parts with fx</t>
  </si>
  <si>
    <t xml:space="preserve">e.g. 📥 @{outputs('Request_ID')} received.</t>
  </si>
  <si>
    <t xml:space="preserve">Post &lt;name&gt;  (SharePoint → Send an HTTP request to SharePoint) — Method</t>
  </si>
  <si>
    <t xml:space="preserve">POST</t>
  </si>
  <si>
    <t xml:space="preserve">Uri</t>
  </si>
  <si>
    <t xml:space="preserve">_api/web/lists/getbytitle('HR Change Requests')/items(@{triggerBody()?['ID']})/Comments</t>
  </si>
  <si>
    <t xml:space="preserve">Headers</t>
  </si>
  <si>
    <t xml:space="preserve">Accept = application/json;odata=nometadata   ·   Content-Type = application/json;odata=nometadata</t>
  </si>
  <si>
    <t xml:space="preserve">Body (fx)</t>
  </si>
  <si>
    <t xml:space="preserve">setProperty(json('{}'), 'text', take(outputs('&lt;Name&gt;_text'), 1900))</t>
  </si>
  <si>
    <t xml:space="preserve">Try / Catch pattern</t>
  </si>
  <si>
    <t xml:space="preserve">Catch  (Control → Scope) → ⋯ → Configure run after</t>
  </si>
  <si>
    <t xml:space="preserve">Try: ☑ has failed  ☑ has timed out  (☐ is successful)</t>
  </si>
  <si>
    <t xml:space="preserve">Failure alert  (Office 365 Outlook → Send an email (V2)) — To</t>
  </si>
  <si>
    <t xml:space="preserve">your admin email (type it — don't depend on Settings here)</t>
  </si>
  <si>
    <t xml:space="preserve">Subject</t>
  </si>
  <si>
    <t xml:space="preserve">[HR Change] @{workflow()?['tags']?['flowDisplayName']} failed</t>
  </si>
  <si>
    <t xml:space="preserve">Body</t>
  </si>
  <si>
    <t xml:space="preserve">Open the failed run: @{concat('https://make.powerautomate.com/environments/', workflow()?['tags']?['environmentName'], '/flows/', workflow()?['name'], '/runs/', workflow()?['run']?['name'])}</t>
  </si>
  <si>
    <t xml:space="preserve">Flag the item  (SharePoint → Update item, item-triggered flows only) — AutomationNote (fx)</t>
  </si>
  <si>
    <t xml:space="preserve">concat('⚠️ ', workflow()?['tags']?['flowDisplayName'], ' failed ', formatDateTime(utcNow(), 'yyyy-MM-dd HH:mm'), ' UTC — see admin email')</t>
  </si>
  <si>
    <t xml:space="preserve">Gates</t>
  </si>
  <si>
    <t xml:space="preserve">Every line must be Passed before the next sprint starts.</t>
  </si>
  <si>
    <t xml:space="preserve">Criterion</t>
  </si>
  <si>
    <t xml:space="preserve">Date</t>
  </si>
  <si>
    <t xml:space="preserve">Evidence / notes</t>
  </si>
  <si>
    <t xml:space="preserve">D3, D5, D6 confirmed by CJ</t>
  </si>
  <si>
    <t xml:space="preserve">Field list signed off with Johanna</t>
  </si>
  <si>
    <t xml:space="preserve">Reference workbook uploaded and Settings filled</t>
  </si>
  <si>
    <t xml:space="preserve">List built: all columns, choices, required fields, show/hide formulas, views</t>
  </si>
  <si>
    <t xml:space="preserve">T21 passed (non-HR account sees only own requests)</t>
  </si>
  <si>
    <t xml:space="preserve">T01–T06 pass</t>
  </si>
  <si>
    <t xml:space="preserve">One live E submission by Johanna closed end to end</t>
  </si>
  <si>
    <t xml:space="preserve">A failure alert email received from a Catch block (any test)</t>
  </si>
  <si>
    <t xml:space="preserve">Flows owned by the HR/service account, not a personal one</t>
  </si>
  <si>
    <t xml:space="preserve">T07–T13 pass</t>
  </si>
  <si>
    <t xml:space="preserve">First real I case approved, earning entered, resolved, Payroll FYI posted</t>
  </si>
  <si>
    <t xml:space="preserve">Form pinned in #lane-people-talent; manager comms sent</t>
  </si>
  <si>
    <t xml:space="preserve">HR mailbox auto-reply points to the form</t>
  </si>
  <si>
    <t xml:space="preserve">Approval matrix signed off; Approvers table filled per region</t>
  </si>
  <si>
    <t xml:space="preserve">T14–T17 and T22 pass</t>
  </si>
  <si>
    <t xml:space="preserve">UAT with Johanna on every path A1–I</t>
  </si>
  <si>
    <t xml:space="preserve">T18–T20 pass</t>
  </si>
  <si>
    <t xml:space="preserve">Two weeks of digests reviewed</t>
  </si>
  <si>
    <t xml:space="preserve">No request handled outside the list in those two weeks</t>
  </si>
  <si>
    <t xml:space="preserve">SLA baseline reviewed (All Open by SLA / Recently Resolved)</t>
  </si>
  <si>
    <t xml:space="preserve">Dependency confirmed in writing</t>
  </si>
  <si>
    <t xml:space="preserve">Built and tested on a test request</t>
  </si>
  <si>
    <t xml:space="preserve">Checklist step updated to show it is automated (Auto column)</t>
  </si>
  <si>
    <t xml:space="preserve">Each item ships with its own test cases and a rollback note</t>
  </si>
  <si>
    <t xml:space="preserve">Test Pack (UAT)</t>
  </si>
  <si>
    <t xml:space="preserve">Run in the sprint shown. Record the result.</t>
  </si>
  <si>
    <t xml:space="preserve">Scenario</t>
  </si>
  <si>
    <t xml:space="preserve">How</t>
  </si>
  <si>
    <t xml:space="preserve">Expected</t>
  </si>
  <si>
    <t xml:space="preserve">Result</t>
  </si>
  <si>
    <t xml:space="preserve">Tested by</t>
  </si>
  <si>
    <t xml:space="preserve">T01</t>
  </si>
  <si>
    <t xml:space="preserve">E — basic intake</t>
  </si>
  <si>
    <t xml:space="preserve">Submit an E request on a weekday.</t>
  </si>
  <si>
    <t xml:space="preserve">Request = 'E — Personal Data Change — &lt;name&gt;'; Request ID HRC-00000N; SLA = next business day; 📥 comment; People Ops Slack ping; confirmation email.</t>
  </si>
  <si>
    <t xml:space="preserve">Not run</t>
  </si>
  <si>
    <t xml:space="preserve">T02</t>
  </si>
  <si>
    <t xml:space="preserve">Weekend SLA</t>
  </si>
  <si>
    <t xml:space="preserve">Submit an E request on Saturday (or check SLA Start in the run of a Friday-evening test).</t>
  </si>
  <si>
    <t xml:space="preserve">Saturday submission → SLA = Tuesday (counting starts Monday).</t>
  </si>
  <si>
    <t xml:space="preserve">T03</t>
  </si>
  <si>
    <t xml:space="preserve">E checklist</t>
  </si>
  <si>
    <t xml:space="preserve">Look at the T01 item.</t>
  </si>
  <si>
    <t xml:space="preserve">Checklist has 5 '[ ] 0n.' lines; 03–05 end with '⚙ resolution'; Next Action = '01. Confirm field(s) changing and new value'; 📋 comment lists the steps.</t>
  </si>
  <si>
    <t xml:space="preserve">T04</t>
  </si>
  <si>
    <t xml:space="preserve">Other — catch-all</t>
  </si>
  <si>
    <t xml:space="preserve">Submit Change Type = Other.</t>
  </si>
  <si>
    <t xml:space="preserve">No checklist; '⚠️ … needs manual scoping' comment; Slack warning.</t>
  </si>
  <si>
    <t xml:space="preserve">T05</t>
  </si>
  <si>
    <t xml:space="preserve">Resolve E</t>
  </si>
  <si>
    <t xml:space="preserve">Set Assignee = you, Status = 3-Resolved.</t>
  </si>
  <si>
    <t xml:space="preserve">Completion Date = today; Outcome = Completed; 03–05 ticked [x]; '✅ Resolved on &lt;date&gt; by &lt;you&gt;' (+ note if 01–02 were open); close-the-loop email.</t>
  </si>
  <si>
    <t xml:space="preserve">T06</t>
  </si>
  <si>
    <t xml:space="preserve">Live E</t>
  </si>
  <si>
    <t xml:space="preserve">Johanna submits and works a real E request.</t>
  </si>
  <si>
    <t xml:space="preserve">Same as T01–T05 with no manual fixes.</t>
  </si>
  <si>
    <t xml:space="preserve">T07</t>
  </si>
  <si>
    <t xml:space="preserve">I — HR approval (approve)</t>
  </si>
  <si>
    <t xml:space="preserve">Submit I: Rate Type Hourly, $100, first date worked in the current pay period before cutoff.</t>
  </si>
  <si>
    <t xml:space="preserve">2-Waiting / Pending / Waiting On Approver; HR approval email; approve → Approved, step 01 [x], 🔓 comment; Status 0-New (no Assignee) or 1-Assigned.</t>
  </si>
  <si>
    <t xml:space="preserve">T08</t>
  </si>
  <si>
    <t xml:space="preserve">I — after cutoff</t>
  </si>
  <si>
    <t xml:space="preserve">Submit I with first date worked in a pay period whose cutoff has passed.</t>
  </si>
  <si>
    <t xml:space="preserve">Pay Period label set; Submitted After Cutoff = Yes; ⚠️ in comment and Slack.</t>
  </si>
  <si>
    <t xml:space="preserve">T09</t>
  </si>
  <si>
    <t xml:space="preserve">I — HR rejects</t>
  </si>
  <si>
    <t xml:space="preserve">Submit I; reject with a comment.</t>
  </si>
  <si>
    <t xml:space="preserve">Status 3-Resolved; Outcome Rejected; open steps [–]; rejection email with approval notes; NO Payroll FYI.</t>
  </si>
  <si>
    <t xml:space="preserve">T10</t>
  </si>
  <si>
    <t xml:space="preserve">I — Payroll FYI</t>
  </si>
  <si>
    <t xml:space="preserve">Resolve the T07 request.</t>
  </si>
  <si>
    <t xml:space="preserve">Payroll room message once; Payroll Notified On = today; editing the item again does not re-post.</t>
  </si>
  <si>
    <t xml:space="preserve">T11</t>
  </si>
  <si>
    <t xml:space="preserve">G — LOA</t>
  </si>
  <si>
    <t xml:space="preserve">Submit G with an expected return date.</t>
  </si>
  <si>
    <t xml:space="preserve">SLA blank ('Per policy' in comment); Assignee = CJ; Slack shows '(confidential — see list)'; ticking every step does not resolve it.</t>
  </si>
  <si>
    <t xml:space="preserve">T12</t>
  </si>
  <si>
    <t xml:space="preserve">A1 — voluntary offboarding</t>
  </si>
  <si>
    <t xml:space="preserve">Submit A1 with Last Day next Friday.</t>
  </si>
  <si>
    <t xml:space="preserve">SLA Due Date = Last Day; 16 steps; 'Terminate in Paycor' line shows 📅 &lt;last day&gt;.</t>
  </si>
  <si>
    <t xml:space="preserve">T13</t>
  </si>
  <si>
    <t xml:space="preserve">A2 — involuntary (sensitive)</t>
  </si>
  <si>
    <t xml:space="preserve">Submit A2.</t>
  </si>
  <si>
    <t xml:space="preserve">Name withheld in Slack and the digest; SLA = Last Day; 12 steps.</t>
  </si>
  <si>
    <t xml:space="preserve">T14</t>
  </si>
  <si>
    <t xml:space="preserve">B — two-stage approval</t>
  </si>
  <si>
    <t xml:space="preserve">Submit B (Manager = you, Region with a Regional row).</t>
  </si>
  <si>
    <t xml:space="preserve">Manager approval first; Regional only after it is approved; both lines in Approval History.</t>
  </si>
  <si>
    <t xml:space="preserve">T15</t>
  </si>
  <si>
    <t xml:space="preserve">C — reject at stage 2</t>
  </si>
  <si>
    <t xml:space="preserve">Submit C; approve Manager, reject Regional.</t>
  </si>
  <si>
    <t xml:space="preserve">HR stage never sent; Rejected path as in T09.</t>
  </si>
  <si>
    <t xml:space="preserve">T16</t>
  </si>
  <si>
    <t xml:space="preserve">No approver</t>
  </si>
  <si>
    <t xml:space="preserve">Submit B with a Region that has no Regional row and with the '*' row set Active = No.</t>
  </si>
  <si>
    <t xml:space="preserve">Approval Status = Needs approver; Status 2-Waiting; Slack alert. (Restore the '*' row.)</t>
  </si>
  <si>
    <t xml:space="preserve">T17</t>
  </si>
  <si>
    <t xml:space="preserve">Checklist progress</t>
  </si>
  <si>
    <t xml:space="preserve">On any open request change two '[ ]' to '[x]'; then tick the rest.</t>
  </si>
  <si>
    <t xml:space="preserve">Checklist % updates; Next Action = next open step; at 100%: '☑️ … ready to resolve' comment + Slack; Status unchanged.</t>
  </si>
  <si>
    <t xml:space="preserve">T18</t>
  </si>
  <si>
    <t xml:space="preserve">Daily digest</t>
  </si>
  <si>
    <t xml:space="preserve">Run Flow 7 manually with open test items (one overdue, one 0-New, one exception).</t>
  </si>
  <si>
    <t xml:space="preserve">One Slack post with the right sections; A2/G names show '(confidential)'.</t>
  </si>
  <si>
    <t xml:space="preserve">T19</t>
  </si>
  <si>
    <t xml:space="preserve">Cutoff reminder</t>
  </si>
  <si>
    <t xml:space="preserve">Temporarily set CutoffDay1 to a date ReminderBusinessDays business days from today; run Flow 7.</t>
  </si>
  <si>
    <t xml:space="preserve">Managers channel reminder with the form link. Restore the setting.</t>
  </si>
  <si>
    <t xml:space="preserve">T20</t>
  </si>
  <si>
    <t xml:space="preserve">Temporarily point Flow 1's Slack step at a channel the service account can't post to; submit E.</t>
  </si>
  <si>
    <t xml:space="preserve">Admin email with run link; Automation Note filled; item in the Exceptions view and digest. Undo.</t>
  </si>
  <si>
    <t xml:space="preserve">T21</t>
  </si>
  <si>
    <t xml:space="preserve">Permissions</t>
  </si>
  <si>
    <t xml:space="preserve">A non-HR colleague submits a request, then browses the list and searches for another employee's request.</t>
  </si>
  <si>
    <t xml:space="preserve">They see only their own item.</t>
  </si>
  <si>
    <t xml:space="preserve">T22</t>
  </si>
  <si>
    <t xml:space="preserve">Config without flow edits</t>
  </si>
  <si>
    <t xml:space="preserve">Change E's SLABusinessDays to 2 in Excel; submit E.</t>
  </si>
  <si>
    <t xml:space="preserve">SLA = 2 business days. Restore to 1.</t>
  </si>
  <si>
    <t xml:space="preserve">Design decisions and the ones that need your confirmation.</t>
  </si>
  <si>
    <t xml:space="preserve">Topic</t>
  </si>
  <si>
    <t xml:space="preserve">Decision</t>
  </si>
  <si>
    <t xml:space="preserve">Why</t>
  </si>
  <si>
    <t xml:space="preserve">D1</t>
  </si>
  <si>
    <t xml:space="preserve">System of record</t>
  </si>
  <si>
    <t xml:space="preserve">Replace the HR Change Slack List with ONE SharePoint list: HR Change Requests.</t>
  </si>
  <si>
    <t xml:space="preserve">Your direction. One place per case; filterable views; works with Power Automate natively.</t>
  </si>
  <si>
    <t xml:space="preserve">Decided</t>
  </si>
  <si>
    <t xml:space="preserve">D2</t>
  </si>
  <si>
    <t xml:space="preserve">Reference data</t>
  </si>
  <si>
    <t xml:space="preserve">SLAs, approval chains, checklists, approvers and settings live as tables in one Excel workbook (HR Change Reference.xlsx) that the flows read.</t>
  </si>
  <si>
    <t xml:space="preserve">Manage them like a reference sheet, without extra lists or flow edits. Contract: never rename a table or a column header.</t>
  </si>
  <si>
    <t xml:space="preserve">D3</t>
  </si>
  <si>
    <t xml:space="preserve">Front door</t>
  </si>
  <si>
    <t xml:space="preserve">The list's New form is the front door, pinned in #lane-people-talent. Microsoft Forms is reserved for the Phase 3 manager self-service form.</t>
  </si>
  <si>
    <t xml:space="preserve">A Slack Workflow Builder form cannot write to SharePoint without a bot token or webhook app. Principle update: 'Microsoft-native for the record, Slack for visibility'.</t>
  </si>
  <si>
    <t xml:space="preserve">Confirm (CJ)</t>
  </si>
  <si>
    <t xml:space="preserve">D4</t>
  </si>
  <si>
    <t xml:space="preserve">Checklist / subtasks</t>
  </si>
  <si>
    <t xml:space="preserve">The checklist is posted to the item's comment thread (the work log) AND written to an editable Checklist field. HR ticks [ ] → [x]; a flow keeps Checklist % and Next Action current.</t>
  </si>
  <si>
    <t xml:space="preserve">Delivers Phase 1 (thread checklist) and the Phase 2 goal (progress visibility) without a second list.</t>
  </si>
  <si>
    <t xml:space="preserve">D5</t>
  </si>
  <si>
    <t xml:space="preserve">Template I — Payroll role</t>
  </si>
  <si>
    <t xml:space="preserve">Payroll is a verifier, not a gate: a one-way Slack FYI when People Ops resolves an I case.</t>
  </si>
  <si>
    <t xml:space="preserve">The plan's Flow 3 section says this explicitly; the master reference's 'Payroll final approval' line conflicts. To make Payroll a gate later, add 'Payroll' to I's ApprovalChain.</t>
  </si>
  <si>
    <t xml:space="preserve">D6</t>
  </si>
  <si>
    <t xml:space="preserve">Manager field</t>
  </si>
  <si>
    <t xml:space="preserve">'Manager Name' becomes a Manager person field.</t>
  </si>
  <si>
    <t xml:space="preserve">Approvals need an email to route to.</t>
  </si>
  <si>
    <t xml:space="preserve">Confirm (Johanna)</t>
  </si>
  <si>
    <t xml:space="preserve">D7</t>
  </si>
  <si>
    <t xml:space="preserve">Comp 'approval confirmed (Y/N)'</t>
  </si>
  <si>
    <t xml:space="preserve">Retired. Replaced by the in-system approval chain.</t>
  </si>
  <si>
    <t xml:space="preserve">One source of truth for approval.</t>
  </si>
  <si>
    <t xml:space="preserve">D8</t>
  </si>
  <si>
    <t xml:space="preserve">Approvals channel</t>
  </si>
  <si>
    <t xml:space="preserve">Power Automate Approvals (email, Teams, Power Automate app). In-Slack approve buttons wait for the Phase 3 bot token.</t>
  </si>
  <si>
    <t xml:space="preserve">Standard connector, no IT app approval.</t>
  </si>
  <si>
    <t xml:space="preserve">D9</t>
  </si>
  <si>
    <t xml:space="preserve">Slack connection</t>
  </si>
  <si>
    <t xml:space="preserve">Power Automate Slack connector (OAuth) under a People Ops service account. Posts go to channels.</t>
  </si>
  <si>
    <t xml:space="preserve">Answers the plan's open question: no bot token needed. DMs need member IDs, so channels for now.</t>
  </si>
  <si>
    <t xml:space="preserve">D10</t>
  </si>
  <si>
    <t xml:space="preserve">Status model</t>
  </si>
  <si>
    <t xml:space="preserve">Keep Tag, You're It (0-New, 1-Assigned, 2-Waiting, 3-Resolved). Add Waiting On, Next Action, Next Action Due, Outcome.</t>
  </si>
  <si>
    <t xml:space="preserve">Keeps continuity; adds 'who/what/when' for every active case (from the inspiration).</t>
  </si>
  <si>
    <t xml:space="preserve">D11</t>
  </si>
  <si>
    <t xml:space="preserve">Sensitive change types</t>
  </si>
  <si>
    <t xml:space="preserve">A2 and G (and optionally H) withhold the employee name from Slack and the digest. Item-level permissions on the list.</t>
  </si>
  <si>
    <t xml:space="preserve">Limit sensitive content in notifications.</t>
  </si>
  <si>
    <t xml:space="preserve">D12</t>
  </si>
  <si>
    <t xml:space="preserve">SLA calendar</t>
  </si>
  <si>
    <t xml:space="preserve">Business days skip weekends, not holidays.</t>
  </si>
  <si>
    <t xml:space="preserve">Simple first. Holiday table is on the Run-phase backlog.</t>
  </si>
  <si>
    <t xml:space="preserve">Accepted</t>
  </si>
  <si>
    <t xml:space="preserve">D13</t>
  </si>
  <si>
    <t xml:space="preserve">Approval rollout</t>
  </si>
  <si>
    <t xml:space="preserve">I's HR approval goes live in Sprint 2 (pilot). B, C, F chains are switched on in Sprint 3 by filling ApprovalChain in Excel after the matrix is signed off.</t>
  </si>
  <si>
    <t xml:space="preserve">Matches the dependency 'Approval matrix signed off by stakeholders'.</t>
  </si>
  <si>
    <t xml:space="preserve">D14</t>
  </si>
  <si>
    <t xml:space="preserve">Plan typo</t>
  </si>
  <si>
    <t xml:space="preserve">'deparHRent' → 'department' (looks like a find/replace of 'tm' → 'HR'). Check the source doc for other damaged words.</t>
  </si>
  <si>
    <t xml:space="preserve">FYI</t>
  </si>
  <si>
    <t xml:space="preserve">D15</t>
  </si>
  <si>
    <t xml:space="preserve">Template I pilot cases</t>
  </si>
  <si>
    <t xml:space="preserve">The ICS live examples (DVA $100/hr, $800/day, first days Aug 15) have passed. Pilot with the next real I submission.</t>
  </si>
  <si>
    <t xml:space="preserve">Inspiration Review</t>
  </si>
  <si>
    <t xml:space="preserve">What we adopted, adapted, deferred or rejected from the email-ticketing inspiration — and why.</t>
  </si>
  <si>
    <t xml:space="preserve">Idea</t>
  </si>
  <si>
    <t xml:space="preserve">Verdict</t>
  </si>
  <si>
    <t xml:space="preserve">How it shows up</t>
  </si>
  <si>
    <t xml:space="preserve">Email-first intake (employees keep emailing HR)</t>
  </si>
  <si>
    <t xml:space="preserve">Reject</t>
  </si>
  <si>
    <t xml:space="preserve">Breaks 'One front door' and 'Not in the intake, does not exist'.</t>
  </si>
  <si>
    <t xml:space="preserve">Adapt instead: an auto-reply on the HR mailbox that points people to the form (Sprint 2, no flow needed).</t>
  </si>
  <si>
    <t xml:space="preserve">Ticket-marker matching on email replies</t>
  </si>
  <si>
    <t xml:space="preserve">Reject (for now)</t>
  </si>
  <si>
    <t xml:space="preserve">Only needed with email intake.</t>
  </si>
  <si>
    <t xml:space="preserve">The earlier hr-ticketing-triage solution keeps this if email intake is ever wanted.</t>
  </si>
  <si>
    <t xml:space="preserve">One accountable owner + Next action + Next action date on every active case</t>
  </si>
  <si>
    <t xml:space="preserve">Adopt</t>
  </si>
  <si>
    <t xml:space="preserve">Directly improves Tag, You're It: 'In progress' alone doesn't say what happens next.</t>
  </si>
  <si>
    <t xml:space="preserve">Next Action / Next Action Due fields; Flow 6 keeps Next Action = first open checklist step.</t>
  </si>
  <si>
    <t xml:space="preserve">Richer status set (waiting on employee / third party)</t>
  </si>
  <si>
    <t xml:space="preserve">Adapt</t>
  </si>
  <si>
    <t xml:space="preserve">Keep the 0–3 labels for continuity.</t>
  </si>
  <si>
    <t xml:space="preserve">Add a Waiting On field used with 2-Waiting.</t>
  </si>
  <si>
    <t xml:space="preserve">First human response date</t>
  </si>
  <si>
    <t xml:space="preserve">Defer</t>
  </si>
  <si>
    <t xml:space="preserve">Your SLAs measure completion, not first response.</t>
  </si>
  <si>
    <t xml:space="preserve">Revisit in Run phase for reporting.</t>
  </si>
  <si>
    <t xml:space="preserve">Action-based workbench views</t>
  </si>
  <si>
    <t xml:space="preserve">Fast daily triage.</t>
  </si>
  <si>
    <t xml:space="preserve">8 views (see Views tab), incl. Needs Attention Today and Exceptions.</t>
  </si>
  <si>
    <t xml:space="preserve">Daily digest instead of per-update emails</t>
  </si>
  <si>
    <t xml:space="preserve">Less noise; one place to see risk.</t>
  </si>
  <si>
    <t xml:space="preserve">Flow 7 (Sprint 4), sensitive names withheld.</t>
  </si>
  <si>
    <t xml:space="preserve">Separate restricted lane for sensitive casework</t>
  </si>
  <si>
    <t xml:space="preserve">HR change requests are mostly routine; LOA/offboarding need care, ER investigations are out of scope.</t>
  </si>
  <si>
    <t xml:space="preserve">Sensitive flag per change type + item-level permissions now; restricted ER area is a Run-phase decision.</t>
  </si>
  <si>
    <t xml:space="preserve">Copy email bodies/attachments into the ticket; Ticket Messages list</t>
  </si>
  <si>
    <t xml:space="preserve">One-list rule; the comment thread is the log.</t>
  </si>
  <si>
    <t xml:space="preserve">Attachments go on the list item directly when needed.</t>
  </si>
  <si>
    <t xml:space="preserve">Send HR responses from list fields</t>
  </si>
  <si>
    <t xml:space="preserve">Complexity and risk for little gain.</t>
  </si>
  <si>
    <t xml:space="preserve">Reply in Slack/Outlook; close-the-loop email is automated at resolution.</t>
  </si>
  <si>
    <t xml:space="preserve">Auto-close after inactivity</t>
  </si>
  <si>
    <t xml:space="preserve">LOA must stay open; closure is a deliberate HR act in your plan.</t>
  </si>
  <si>
    <t xml:space="preserve">Daily digest surfaces stale items instead.</t>
  </si>
  <si>
    <t xml:space="preserve">Exception path — never lose a request</t>
  </si>
  <si>
    <t xml:space="preserve">A failed step must stay visible.</t>
  </si>
  <si>
    <t xml:space="preserve">Try/Catch in every flow: admin email with run link + Automation Note + Exceptions view.</t>
  </si>
  <si>
    <t xml:space="preserve">Loop guards with trigger conditions</t>
  </si>
  <si>
    <t xml:space="preserve">Flows that update the item they trigger on can loop.</t>
  </si>
  <si>
    <t xml:space="preserve">Flows 3, 4, 6 use trigger conditions / compare-before-write.</t>
  </si>
  <si>
    <t xml:space="preserve">Don't promise resolution dates in auto-acknowledgements</t>
  </si>
  <si>
    <t xml:space="preserve">Sets the right expectation.</t>
  </si>
  <si>
    <t xml:space="preserve">Confirmation email says 'target completion' and 'a team member will pick it up'.</t>
  </si>
  <si>
    <t xml:space="preserve">Pilot scenario test list (duplicates, out-of-office, failures…)</t>
  </si>
  <si>
    <t xml:space="preserve">Email-specific cases don't apply.</t>
  </si>
  <si>
    <t xml:space="preserve">22-case Test Pack written for HR change paths, approvals, permissions and failures.</t>
  </si>
  <si>
    <t xml:space="preserve">Test access with a non-HR account before launch</t>
  </si>
  <si>
    <t xml:space="preserve">Filtered views are not security.</t>
  </si>
  <si>
    <t xml:space="preserve">Gate 0 / test T21.</t>
  </si>
  <si>
    <t xml:space="preserve">Plan Traceability</t>
  </si>
  <si>
    <t xml:space="preserve">Every element of the project plan and where it is delivered.</t>
  </si>
  <si>
    <t xml:space="preserve">Project plan item</t>
  </si>
  <si>
    <t xml:space="preserve">Where it lives in the build</t>
  </si>
  <si>
    <t xml:space="preserve">Guiding principle — One front door</t>
  </si>
  <si>
    <t xml:space="preserve">List New form pinned in #lane-people-talent; HR mailbox auto-reply points to it</t>
  </si>
  <si>
    <t xml:space="preserve">S0, S2</t>
  </si>
  <si>
    <t xml:space="preserve">Guiding principle — Not in the intake, does not exist</t>
  </si>
  <si>
    <t xml:space="preserve">Every case is an item; digest + views only show list items</t>
  </si>
  <si>
    <t xml:space="preserve">Guiding principle — Slack native first</t>
  </si>
  <si>
    <t xml:space="preserve">Updated (D3): Microsoft-native for the record, Slack for visibility</t>
  </si>
  <si>
    <t xml:space="preserve">Guiding principle — The list is the system of record</t>
  </si>
  <si>
    <t xml:space="preserve">ONE SharePoint list: HR Change Requests</t>
  </si>
  <si>
    <t xml:space="preserve">Guiding principle — Templates do the thinking</t>
  </si>
  <si>
    <t xml:space="preserve">Checklists table (A1–I) → Flow 2 Checklist Router</t>
  </si>
  <si>
    <t xml:space="preserve">Guiding principle — The thread is the work log</t>
  </si>
  <si>
    <t xml:space="preserve">Item Comments: intake, checklist, approvals, resolution all logged</t>
  </si>
  <si>
    <t xml:space="preserve">Guiding principle — Offboarding is a path</t>
  </si>
  <si>
    <t xml:space="preserve">A1/A2 are change types on the same list and engine</t>
  </si>
  <si>
    <t xml:space="preserve">Layer 1 — Intake form + confirmation to submitter</t>
  </si>
  <si>
    <t xml:space="preserve">List form + Flow 1 Intake Notification (confirmation email, People Ops ping)</t>
  </si>
  <si>
    <t xml:space="preserve">Layer 2 / Phase 1 — Thread-based checklist</t>
  </si>
  <si>
    <t xml:space="preserve">Flow 2 posts the checklist as an item comment</t>
  </si>
  <si>
    <t xml:space="preserve">Layer 2 / Phase 2 — True subtasks + progress</t>
  </si>
  <si>
    <t xml:space="preserve">Checklist field with [ ]/[x] + Flow 6 Checklist % and Next Action</t>
  </si>
  <si>
    <t xml:space="preserve">Master template items never completed</t>
  </si>
  <si>
    <t xml:space="preserve">Checklists table in the reference workbook (SOP source of truth)</t>
  </si>
  <si>
    <t xml:space="preserve">Layer 3 — Email sends</t>
  </si>
  <si>
    <t xml:space="preserve">Flow 1 confirmation, Flow 4 close-the-loop</t>
  </si>
  <si>
    <t xml:space="preserve">Layer 3 — Slack notifications</t>
  </si>
  <si>
    <t xml:space="preserve">Flows 1, 2, 3, 5, 6, 7</t>
  </si>
  <si>
    <t xml:space="preserve">S1–S4</t>
  </si>
  <si>
    <t xml:space="preserve">Layer 3 — Jira, Word templates, Monday.com</t>
  </si>
  <si>
    <t xml:space="preserve">Sprint 5, each behind its dependency gate</t>
  </si>
  <si>
    <t xml:space="preserve">Intake fields — universal + conditional</t>
  </si>
  <si>
    <t xml:space="preserve">List columns + show/hide formulas (List Fields tab)</t>
  </si>
  <si>
    <t xml:space="preserve">List fields — Request ID … Completion date</t>
  </si>
  <si>
    <t xml:space="preserve">List columns (List Fields tab)</t>
  </si>
  <si>
    <t xml:space="preserve">Status labels 0–3</t>
  </si>
  <si>
    <t xml:space="preserve">Status choice (Statuses tab)</t>
  </si>
  <si>
    <t xml:space="preserve">SLA targets by change type</t>
  </si>
  <si>
    <t xml:space="preserve">Change Types table → Flow 1 SLA Due Date (business days / last day / per policy)</t>
  </si>
  <si>
    <t xml:space="preserve">Completion auto-comment (✅ Resolved on [date] by [assignee] + stamp date)</t>
  </si>
  <si>
    <t xml:space="preserve">Flow 4 Completion Auto-Comment</t>
  </si>
  <si>
    <t xml:space="preserve">Flow 1 — Intake Notification</t>
  </si>
  <si>
    <t xml:space="preserve">Flow 2 — Checklist Router (10 paths + Other catch-all)</t>
  </si>
  <si>
    <t xml:space="preserve">Flow 2 (one generic path reads the table; Other → 'needs manual scoping')</t>
  </si>
  <si>
    <t xml:space="preserve">Flow 3 — Payroll Notification (Template I only, not a gate)</t>
  </si>
  <si>
    <t xml:space="preserve">Template I — HR approval → Paycor earning → resolve</t>
  </si>
  <si>
    <t xml:space="preserve">Flow 5 (HR stage) + checklist I + Flow 3</t>
  </si>
  <si>
    <t xml:space="preserve">Template I — log against the right pay period; flag after cutoff</t>
  </si>
  <si>
    <t xml:space="preserve">Flow 1 Pay Period + Submitted After Cutoff</t>
  </si>
  <si>
    <t xml:space="preserve">Template G — route to CJ, stays open until return</t>
  </si>
  <si>
    <t xml:space="preserve">Default Assignee = CJ; Flow 6 never auto-resolves; digest flags returns</t>
  </si>
  <si>
    <t xml:space="preserve">S2, S4</t>
  </si>
  <si>
    <t xml:space="preserve">Approval routing (B, C, F per approval matrix)</t>
  </si>
  <si>
    <t xml:space="preserve">Flow 5 + Approvers table; switched on after matrix sign-off</t>
  </si>
  <si>
    <t xml:space="preserve">Nice to add — cutoff reminder to managers</t>
  </si>
  <si>
    <t xml:space="preserve">Flow 7 cutoff reminder</t>
  </si>
  <si>
    <t xml:space="preserve">Phase 3 — Dashboard view</t>
  </si>
  <si>
    <t xml:space="preserve">Views (All Open by SLA, Recently Resolved) + daily digest; Power BI later</t>
  </si>
  <si>
    <t xml:space="preserve">S4, S6</t>
  </si>
  <si>
    <t xml:space="preserve">Phase 3 — Manager self-service form</t>
  </si>
  <si>
    <t xml:space="preserve">Microsoft Forms → same list (scoped types)</t>
  </si>
  <si>
    <t xml:space="preserve">Phase 3 — Bot token / in-Slack approvals; Paycor iPaaS</t>
  </si>
  <si>
    <t xml:space="preserve">Run-phase backlog</t>
  </si>
  <si>
    <t xml:space="preserve">Build order — E first, then I, then G</t>
  </si>
  <si>
    <t xml:space="preserve">Sprint 1 = E end-to-end; Sprint 2 = I pilot then G</t>
  </si>
  <si>
    <t xml:space="preserve">S1, S2</t>
  </si>
  <si>
    <t xml:space="preserve">Open question — Slack app vs Power Automate connector</t>
  </si>
  <si>
    <t xml:space="preserve">Answered: connector (D9)</t>
  </si>
  <si>
    <t xml:space="preserve">Dependencies</t>
  </si>
  <si>
    <t xml:space="preserve">From the plan's dependencies table, plus what this build adds.</t>
  </si>
  <si>
    <t xml:space="preserve">Item</t>
  </si>
  <si>
    <t xml:space="preserve">Needed by</t>
  </si>
  <si>
    <t xml:space="preserve">HR Change Reference.xlsx stored on the People Ops site</t>
  </si>
  <si>
    <t xml:space="preserve">Ready (this kit)</t>
  </si>
  <si>
    <t xml:space="preserve">Flows read it.</t>
  </si>
  <si>
    <t xml:space="preserve">Slack connection under a People Ops service account</t>
  </si>
  <si>
    <t xml:space="preserve">CJ / IT</t>
  </si>
  <si>
    <t xml:space="preserve">To confirm</t>
  </si>
  <si>
    <t xml:space="preserve">Messages appear from this account.</t>
  </si>
  <si>
    <t xml:space="preserve">Field list signed off</t>
  </si>
  <si>
    <t xml:space="preserve">Gate 0.</t>
  </si>
  <si>
    <t xml:space="preserve">Approval matrix signed off by stakeholders</t>
  </si>
  <si>
    <t xml:space="preserve">Gate 3: switches on B, C, F approvals.</t>
  </si>
  <si>
    <t xml:space="preserve">Jira connector access in Power Automate + HR Jira project</t>
  </si>
  <si>
    <t xml:space="preserve">IT</t>
  </si>
  <si>
    <t xml:space="preserve">Plan open question.</t>
  </si>
  <si>
    <t xml:space="preserve">Shared offboarding email distro exists and is current</t>
  </si>
  <si>
    <t xml:space="preserve">CJ / Johanna</t>
  </si>
  <si>
    <t xml:space="preserve">Word termination letter template (content controls)</t>
  </si>
  <si>
    <t xml:space="preserve">To build</t>
  </si>
  <si>
    <t xml:space="preserve">'Populate a Microsoft Word template' is a premium connector action.</t>
  </si>
  <si>
    <t xml:space="preserve">Monday backfill request form URL</t>
  </si>
  <si>
    <t xml:space="preserve">Talent</t>
  </si>
  <si>
    <t xml:space="preserve">Payroll Monday board — column/item to post to</t>
  </si>
  <si>
    <t xml:space="preserve">Sydney / Sandra</t>
  </si>
  <si>
    <t xml:space="preserve">Paycor bot token / iPaaS</t>
  </si>
  <si>
    <t xml:space="preserve">IT / Paycor CSM</t>
  </si>
  <si>
    <t xml:space="preserve">Pending</t>
  </si>
  <si>
    <t xml:space="preserve">Run phase.</t>
  </si>
  <si>
    <t xml:space="preserve">Launch comms (Sprint 2)</t>
  </si>
  <si>
    <t xml:space="preserve">Replace &lt;IntakeFormUrl&gt; with the real link.</t>
  </si>
  <si>
    <t xml:space="preserve">Text</t>
  </si>
  <si>
    <t xml:space="preserve">#lane-people-talent announcement (pin it)</t>
  </si>
  <si>
    <t xml:space="preserve">📣 *New: one front door for HR changes*
From today, every HR change request (offboarding, job/status, comp, pay/banking, personal data, time/PTO, LOA, benefits, extra shifts) goes through this form: &lt;IntakeFormUrl&gt;
• You'll get a confirmation with a request ID and a target date.
• If it needs approval, the approver gets it automatically.
• You'll hear back when it's done.
Requests sent by DM or email will be pointed back here — if it isn't in the intake, we can't track it. Thank you! — People Ops</t>
  </si>
  <si>
    <t xml:space="preserve">HR mailbox automatic reply</t>
  </si>
  <si>
    <t xml:space="preserve">Thanks for reaching out to People Ops. HR change requests are handled through our request form so nothing gets lost: &lt;IntakeFormUrl&gt;. For anything else, a member of the team will reply soon.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</si>
</sst>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12241"/>
      <name val="Calibri"/>
      <family val="0"/>
      <charset val="1"/>
    </font>
    <font>
      <i val="true"/>
      <sz val="11"/>
      <color rgb="FF282F2D"/>
      <name val="Calibri"/>
      <family val="0"/>
      <charset val="1"/>
    </font>
    <font>
      <b val="true"/>
      <sz val="11"/>
      <color rgb="FF282F2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282F2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EE3DC"/>
        <bgColor rgb="FFCCFFCC"/>
      </patternFill>
    </fill>
    <fill>
      <patternFill patternType="solid">
        <fgColor rgb="FF512241"/>
        <bgColor rgb="FF282F2D"/>
      </patternFill>
    </fill>
    <fill>
      <patternFill patternType="solid">
        <fgColor rgb="FFE8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12241"/>
          <bgColor rgb="FF000000"/>
        </patternFill>
      </fill>
    </dxf>
    <dxf>
      <fill>
        <patternFill patternType="solid">
          <fgColor rgb="FFE8F6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F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EE3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3"/>
      <rgbColor rgb="FF660066"/>
      <rgbColor rgb="FFFF8080"/>
      <rgbColor rgb="FF0066CC"/>
      <rgbColor rgb="FFBE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512241"/>
      <rgbColor rgb="FF993300"/>
      <rgbColor rgb="FF993366"/>
      <rgbColor rgb="FF333399"/>
      <rgbColor rgb="FF282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locks" displayName="tblBlocks" ref="A4:C20" headerRowCount="1" totalsRowCount="0" totalsRowShown="0">
  <autoFilter ref="A4:C20"/>
  <tableColumns count="3">
    <tableColumn id="1" name="Block"/>
    <tableColumn id="2" name="Action / field"/>
    <tableColumn id="3" name="Value / expression"/>
  </tableColumns>
</table>
</file>

<file path=xl/tables/table2.xml><?xml version="1.0" encoding="utf-8"?>
<table xmlns="http://schemas.openxmlformats.org/spreadsheetml/2006/main" id="2" name="tblBuildSteps" displayName="tblBuildSteps" ref="A4:L73" headerRowCount="1" totalsRowCount="0" totalsRowShown="0">
  <autoFilter ref="A4:L73"/>
  <tableColumns count="12">
    <tableColumn id="1" name="ID"/>
    <tableColumn id="2" name="Sprint"/>
    <tableColumn id="3" name="Area"/>
    <tableColumn id="4" name="Step"/>
    <tableColumn id="5" name="Where"/>
    <tableColumn id="6" name="Do"/>
    <tableColumn id="7" name="Paste / settings"/>
    <tableColumn id="8" name="Check"/>
    <tableColumn id="9" name="Owner"/>
    <tableColumn id="10" name="Status"/>
    <tableColumn id="11" name="Done on"/>
    <tableColumn id="12" name="Notes"/>
  </tableColumns>
</table>
</file>

<file path=xl/tables/table3.xml><?xml version="1.0" encoding="utf-8"?>
<table xmlns="http://schemas.openxmlformats.org/spreadsheetml/2006/main" id="3" name="tblComms" displayName="tblComms" ref="A4:B6" headerRowCount="1" totalsRowCount="0" totalsRowShown="0">
  <autoFilter ref="A4:B6"/>
  <tableColumns count="2">
    <tableColumn id="1" name="Where"/>
    <tableColumn id="2" name="Text"/>
  </tableColumns>
</table>
</file>

<file path=xl/tables/table4.xml><?xml version="1.0" encoding="utf-8"?>
<table xmlns="http://schemas.openxmlformats.org/spreadsheetml/2006/main" id="4" name="tblDecisions" displayName="tblDecisions" ref="A4:E19" headerRowCount="1" totalsRowCount="0" totalsRowShown="0">
  <autoFilter ref="A4:E19"/>
  <tableColumns count="5">
    <tableColumn id="1" name="ID"/>
    <tableColumn id="2" name="Topic"/>
    <tableColumn id="3" name="Decision"/>
    <tableColumn id="4" name="Why"/>
    <tableColumn id="5" name="Status"/>
  </tableColumns>
</table>
</file>

<file path=xl/tables/table5.xml><?xml version="1.0" encoding="utf-8"?>
<table xmlns="http://schemas.openxmlformats.org/spreadsheetml/2006/main" id="5" name="tblDependencies" displayName="tblDependencies" ref="A4:E14" headerRowCount="1" totalsRowCount="0" totalsRowShown="0">
  <autoFilter ref="A4:E14"/>
  <tableColumns count="5">
    <tableColumn id="1" name="Item"/>
    <tableColumn id="2" name="Owner"/>
    <tableColumn id="3" name="Status"/>
    <tableColumn id="4" name="Needed by"/>
    <tableColumn id="5" name="Notes"/>
  </tableColumns>
</table>
</file>

<file path=xl/tables/table6.xml><?xml version="1.0" encoding="utf-8"?>
<table xmlns="http://schemas.openxmlformats.org/spreadsheetml/2006/main" id="6" name="tblGates" displayName="tblGates" ref="A4:F28" headerRowCount="1" totalsRowCount="0" totalsRowShown="0">
  <autoFilter ref="A4:F28"/>
  <tableColumns count="6">
    <tableColumn id="1" name="Sprint"/>
    <tableColumn id="2" name="Gate"/>
    <tableColumn id="3" name="Criterion"/>
    <tableColumn id="4" name="Status"/>
    <tableColumn id="5" name="Date"/>
    <tableColumn id="6" name="Evidence / notes"/>
  </tableColumns>
</table>
</file>

<file path=xl/tables/table7.xml><?xml version="1.0" encoding="utf-8"?>
<table xmlns="http://schemas.openxmlformats.org/spreadsheetml/2006/main" id="7" name="tblInspiration" displayName="tblInspiration" ref="A4:D20" headerRowCount="1" totalsRowCount="0" totalsRowShown="0">
  <autoFilter ref="A4:D20"/>
  <tableColumns count="4">
    <tableColumn id="1" name="Idea"/>
    <tableColumn id="2" name="Verdict"/>
    <tableColumn id="3" name="Why"/>
    <tableColumn id="4" name="How it shows up"/>
  </tableColumns>
</table>
</file>

<file path=xl/tables/table8.xml><?xml version="1.0" encoding="utf-8"?>
<table xmlns="http://schemas.openxmlformats.org/spreadsheetml/2006/main" id="8" name="tblRoadmap" displayName="tblRoadmap" ref="A4:I11" headerRowCount="1" totalsRowCount="0" totalsRowShown="0">
  <autoFilter ref="A4:I11"/>
  <tableColumns count="9">
    <tableColumn id="1" name="Sprint"/>
    <tableColumn id="2" name="Name"/>
    <tableColumn id="3" name="Phase"/>
    <tableColumn id="4" name="Start"/>
    <tableColumn id="5" name="End"/>
    <tableColumn id="6" name="Goal"/>
    <tableColumn id="7" name="Entry criteria"/>
    <tableColumn id="8" name="Gate"/>
    <tableColumn id="9" name="Gate criteria"/>
  </tableColumns>
</table>
</file>

<file path=xl/tables/table9.xml><?xml version="1.0" encoding="utf-8"?>
<table xmlns="http://schemas.openxmlformats.org/spreadsheetml/2006/main" id="9" name="tblSprintSummary" displayName="tblSprintSummary" ref="A6:K13" headerRowCount="1" totalsRowCount="0" totalsRowShown="0">
  <autoFilter ref="A6:K13"/>
  <tableColumns count="11">
    <tableColumn id="1" name="Sprint"/>
    <tableColumn id="2" name="Name"/>
    <tableColumn id="3" name="Phase"/>
    <tableColumn id="4" name="Weeks"/>
    <tableColumn id="5" name="Start"/>
    <tableColumn id="6" name="End"/>
    <tableColumn id="7" name="Steps"/>
    <tableColumn id="8" name="Done"/>
    <tableColumn id="9" name="% done"/>
    <tableColumn id="10" name="Gate"/>
    <tableColumn id="11" name="Gate status"/>
  </tableColumns>
</table>
</file>

<file path=xl/tables/table10.xml><?xml version="1.0" encoding="utf-8"?>
<table xmlns="http://schemas.openxmlformats.org/spreadsheetml/2006/main" id="10" name="tblTests" displayName="tblTests" ref="A4:I26" headerRowCount="1" totalsRowCount="0" totalsRowShown="0">
  <autoFilter ref="A4:I26"/>
  <tableColumns count="9">
    <tableColumn id="1" name="ID"/>
    <tableColumn id="2" name="Sprint"/>
    <tableColumn id="3" name="Scenario"/>
    <tableColumn id="4" name="How"/>
    <tableColumn id="5" name="Expected"/>
    <tableColumn id="6" name="Result"/>
    <tableColumn id="7" name="Tested by"/>
    <tableColumn id="8" name="Date"/>
    <tableColumn id="9" name="Notes"/>
  </tableColumns>
</table>
</file>

<file path=xl/tables/table11.xml><?xml version="1.0" encoding="utf-8"?>
<table xmlns="http://schemas.openxmlformats.org/spreadsheetml/2006/main" id="11" name="tblTrace" displayName="tblTrace" ref="A4:C36" headerRowCount="1" totalsRowCount="0" totalsRowShown="0">
  <autoFilter ref="A4:C36"/>
  <tableColumns count="3">
    <tableColumn id="1" name="Project plan item"/>
    <tableColumn id="2" name="Where it lives in the build"/>
    <tableColumn id="3" name="Spri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26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true">TODAY()</f>
        <v>46303</v>
      </c>
      <c r="C4" s="2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customFormat="false" ht="15" hidden="false" customHeight="false" outlineLevel="0" collapsed="false">
      <c r="A7" s="6" t="s">
        <v>15</v>
      </c>
      <c r="B7" s="6" t="s">
        <v>16</v>
      </c>
      <c r="C7" s="6" t="s">
        <v>17</v>
      </c>
      <c r="D7" s="6" t="n">
        <v>1</v>
      </c>
      <c r="E7" s="7" t="n">
        <f aca="false">B4</f>
        <v>46303</v>
      </c>
      <c r="F7" s="7" t="n">
        <f aca="false">IF(OR(E7="",D7=0),"",E7+D7*7-1)</f>
        <v>46309</v>
      </c>
      <c r="G7" s="6" t="n">
        <f aca="false">COUNTIF('Build Steps'!$B:$B,A7)</f>
        <v>14</v>
      </c>
      <c r="H7" s="6" t="n">
        <f aca="false">COUNTIFS('Build Steps'!$B:$B,A7,'Build Steps'!$J:$J,"Done")</f>
        <v>0</v>
      </c>
      <c r="I7" s="8" t="n">
        <f aca="false">IF(G7=0,"",H7/G7)</f>
        <v>0</v>
      </c>
      <c r="J7" s="6" t="s">
        <v>18</v>
      </c>
      <c r="K7" s="9" t="s">
        <v>19</v>
      </c>
    </row>
    <row r="8" customFormat="false" ht="15" hidden="false" customHeight="false" outlineLevel="0" collapsed="false">
      <c r="A8" s="10" t="s">
        <v>20</v>
      </c>
      <c r="B8" s="10" t="s">
        <v>21</v>
      </c>
      <c r="C8" s="10" t="s">
        <v>17</v>
      </c>
      <c r="D8" s="10" t="n">
        <v>2</v>
      </c>
      <c r="E8" s="11" t="n">
        <f aca="false">IF(F7="","",F7+1)</f>
        <v>46310</v>
      </c>
      <c r="F8" s="11" t="n">
        <f aca="false">IF(OR(E8="",D8=0),"",E8+D8*7-1)</f>
        <v>46323</v>
      </c>
      <c r="G8" s="10" t="n">
        <f aca="false">COUNTIF('Build Steps'!$B:$B,A8)</f>
        <v>22</v>
      </c>
      <c r="H8" s="10" t="n">
        <f aca="false">COUNTIFS('Build Steps'!$B:$B,A8,'Build Steps'!$J:$J,"Done")</f>
        <v>0</v>
      </c>
      <c r="I8" s="12" t="n">
        <f aca="false">IF(G8=0,"",H8/G8)</f>
        <v>0</v>
      </c>
      <c r="J8" s="10" t="s">
        <v>22</v>
      </c>
      <c r="K8" s="9" t="s">
        <v>19</v>
      </c>
    </row>
    <row r="9" customFormat="false" ht="15" hidden="false" customHeight="false" outlineLevel="0" collapsed="false">
      <c r="A9" s="6" t="s">
        <v>23</v>
      </c>
      <c r="B9" s="6" t="s">
        <v>24</v>
      </c>
      <c r="C9" s="6" t="s">
        <v>17</v>
      </c>
      <c r="D9" s="6" t="n">
        <v>2</v>
      </c>
      <c r="E9" s="7" t="n">
        <f aca="false">IF(F8="","",F8+1)</f>
        <v>46324</v>
      </c>
      <c r="F9" s="7" t="n">
        <f aca="false">IF(OR(E9="",D9=0),"",E9+D9*7-1)</f>
        <v>46337</v>
      </c>
      <c r="G9" s="6" t="n">
        <f aca="false">COUNTIF('Build Steps'!$B:$B,A9)</f>
        <v>14</v>
      </c>
      <c r="H9" s="6" t="n">
        <f aca="false">COUNTIFS('Build Steps'!$B:$B,A9,'Build Steps'!$J:$J,"Done")</f>
        <v>0</v>
      </c>
      <c r="I9" s="8" t="n">
        <f aca="false">IF(G9=0,"",H9/G9)</f>
        <v>0</v>
      </c>
      <c r="J9" s="6" t="s">
        <v>25</v>
      </c>
      <c r="K9" s="9" t="s">
        <v>19</v>
      </c>
    </row>
    <row r="10" customFormat="false" ht="15" hidden="false" customHeight="false" outlineLevel="0" collapsed="false">
      <c r="A10" s="10" t="s">
        <v>26</v>
      </c>
      <c r="B10" s="10" t="s">
        <v>27</v>
      </c>
      <c r="C10" s="10" t="s">
        <v>28</v>
      </c>
      <c r="D10" s="10" t="n">
        <v>2</v>
      </c>
      <c r="E10" s="11" t="n">
        <f aca="false">IF(F9="","",F9+1)</f>
        <v>46338</v>
      </c>
      <c r="F10" s="11" t="n">
        <f aca="false">IF(OR(E10="",D10=0),"",E10+D10*7-1)</f>
        <v>46351</v>
      </c>
      <c r="G10" s="10" t="n">
        <f aca="false">COUNTIF('Build Steps'!$B:$B,A10)</f>
        <v>5</v>
      </c>
      <c r="H10" s="10" t="n">
        <f aca="false">COUNTIFS('Build Steps'!$B:$B,A10,'Build Steps'!$J:$J,"Done")</f>
        <v>0</v>
      </c>
      <c r="I10" s="12" t="n">
        <f aca="false">IF(G10=0,"",H10/G10)</f>
        <v>0</v>
      </c>
      <c r="J10" s="10" t="s">
        <v>29</v>
      </c>
      <c r="K10" s="9" t="s">
        <v>19</v>
      </c>
    </row>
    <row r="11" customFormat="false" ht="15" hidden="false" customHeight="false" outlineLevel="0" collapsed="false">
      <c r="A11" s="6" t="s">
        <v>30</v>
      </c>
      <c r="B11" s="6" t="s">
        <v>31</v>
      </c>
      <c r="C11" s="6" t="s">
        <v>28</v>
      </c>
      <c r="D11" s="6" t="n">
        <v>2</v>
      </c>
      <c r="E11" s="7" t="n">
        <f aca="false">IF(F10="","",F10+1)</f>
        <v>46352</v>
      </c>
      <c r="F11" s="7" t="n">
        <f aca="false">IF(OR(E11="",D11=0),"",E11+D11*7-1)</f>
        <v>46365</v>
      </c>
      <c r="G11" s="6" t="n">
        <f aca="false">COUNTIF('Build Steps'!$B:$B,A11)</f>
        <v>5</v>
      </c>
      <c r="H11" s="6" t="n">
        <f aca="false">COUNTIFS('Build Steps'!$B:$B,A11,'Build Steps'!$J:$J,"Done")</f>
        <v>0</v>
      </c>
      <c r="I11" s="8" t="n">
        <f aca="false">IF(G11=0,"",H11/G11)</f>
        <v>0</v>
      </c>
      <c r="J11" s="6" t="s">
        <v>32</v>
      </c>
      <c r="K11" s="9" t="s">
        <v>19</v>
      </c>
    </row>
    <row r="12" customFormat="false" ht="15" hidden="false" customHeight="false" outlineLevel="0" collapsed="false">
      <c r="A12" s="10" t="s">
        <v>33</v>
      </c>
      <c r="B12" s="10" t="s">
        <v>34</v>
      </c>
      <c r="C12" s="10" t="s">
        <v>28</v>
      </c>
      <c r="D12" s="10" t="n">
        <v>2</v>
      </c>
      <c r="E12" s="11" t="n">
        <f aca="false">IF(F11="","",F11+1)</f>
        <v>46366</v>
      </c>
      <c r="F12" s="11" t="n">
        <f aca="false">IF(OR(E12="",D12=0),"",E12+D12*7-1)</f>
        <v>46379</v>
      </c>
      <c r="G12" s="10" t="n">
        <f aca="false">COUNTIF('Build Steps'!$B:$B,A12)</f>
        <v>4</v>
      </c>
      <c r="H12" s="10" t="n">
        <f aca="false">COUNTIFS('Build Steps'!$B:$B,A12,'Build Steps'!$J:$J,"Done")</f>
        <v>0</v>
      </c>
      <c r="I12" s="12" t="n">
        <f aca="false">IF(G12=0,"",H12/G12)</f>
        <v>0</v>
      </c>
      <c r="J12" s="10" t="s">
        <v>35</v>
      </c>
      <c r="K12" s="9" t="s">
        <v>19</v>
      </c>
    </row>
    <row r="13" customFormat="false" ht="15" hidden="false" customHeight="false" outlineLevel="0" collapsed="false">
      <c r="A13" s="6" t="s">
        <v>36</v>
      </c>
      <c r="B13" s="6" t="s">
        <v>37</v>
      </c>
      <c r="C13" s="6" t="s">
        <v>38</v>
      </c>
      <c r="D13" s="6" t="n">
        <v>0</v>
      </c>
      <c r="E13" s="7" t="n">
        <f aca="false">IF(F12="","",F12+1)</f>
        <v>46380</v>
      </c>
      <c r="F13" s="7" t="str">
        <f aca="false">IF(OR(E13="",D13=0),"",E13+D13*7-1)</f>
        <v/>
      </c>
      <c r="G13" s="6" t="n">
        <f aca="false">COUNTIF('Build Steps'!$B:$B,A13)</f>
        <v>5</v>
      </c>
      <c r="H13" s="6" t="n">
        <f aca="false">COUNTIFS('Build Steps'!$B:$B,A13,'Build Steps'!$J:$J,"Done")</f>
        <v>0</v>
      </c>
      <c r="I13" s="8" t="n">
        <f aca="false">IF(G13=0,"",H13/G13)</f>
        <v>0</v>
      </c>
      <c r="J13" s="6" t="s">
        <v>39</v>
      </c>
      <c r="K13" s="9" t="s">
        <v>19</v>
      </c>
    </row>
    <row r="14" customFormat="false" ht="15" hidden="false" customHeight="false" outlineLevel="0" collapsed="false">
      <c r="A14" s="3" t="s">
        <v>40</v>
      </c>
      <c r="G14" s="3" t="n">
        <f aca="false">SUM(G7:G13)</f>
        <v>69</v>
      </c>
      <c r="H14" s="3" t="n">
        <f aca="false">SUM(H7:H13)</f>
        <v>0</v>
      </c>
      <c r="I14" s="13" t="n">
        <f aca="false">IF(G14=0,"",H14/G14)</f>
        <v>0</v>
      </c>
    </row>
    <row r="16" customFormat="false" ht="15" hidden="false" customHeight="false" outlineLevel="0" collapsed="false">
      <c r="A16" s="14" t="s">
        <v>41</v>
      </c>
    </row>
    <row r="17" customFormat="false" ht="15" hidden="false" customHeight="false" outlineLevel="0" collapsed="false">
      <c r="A17" s="15" t="s">
        <v>42</v>
      </c>
    </row>
    <row r="18" customFormat="false" ht="15" hidden="false" customHeight="false" outlineLevel="0" collapsed="false">
      <c r="A18" s="15" t="s">
        <v>43</v>
      </c>
    </row>
    <row r="19" customFormat="false" ht="15" hidden="false" customHeight="false" outlineLevel="0" collapsed="false">
      <c r="A19" s="15" t="s">
        <v>44</v>
      </c>
    </row>
    <row r="20" customFormat="false" ht="15" hidden="false" customHeight="false" outlineLevel="0" collapsed="false">
      <c r="A20" s="15" t="s">
        <v>45</v>
      </c>
    </row>
    <row r="21" customFormat="false" ht="15" hidden="false" customHeight="false" outlineLevel="0" collapsed="false">
      <c r="A21" s="15" t="s">
        <v>46</v>
      </c>
    </row>
  </sheetData>
  <dataValidations count="1">
    <dataValidation allowBlank="true" error="Pick a value from the list." errorStyle="stop" errorTitle="Not allowed" operator="between" showDropDown="false" showErrorMessage="false" showInputMessage="false" sqref="K7:K306" type="list">
      <formula1>"Not started,In progress,Passed,Blocked"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6</v>
      </c>
      <c r="D4" s="5" t="s">
        <v>8</v>
      </c>
      <c r="E4" s="5" t="s">
        <v>9</v>
      </c>
      <c r="F4" s="5" t="s">
        <v>49</v>
      </c>
      <c r="G4" s="5" t="s">
        <v>50</v>
      </c>
      <c r="H4" s="5" t="s">
        <v>13</v>
      </c>
      <c r="I4" s="5" t="s">
        <v>51</v>
      </c>
    </row>
    <row r="5" customFormat="false" ht="68.65" hidden="false" customHeight="false" outlineLevel="0" collapsed="false">
      <c r="A5" s="6" t="s">
        <v>15</v>
      </c>
      <c r="B5" s="6" t="s">
        <v>16</v>
      </c>
      <c r="C5" s="6" t="s">
        <v>17</v>
      </c>
      <c r="D5" s="7" t="n">
        <f aca="false">Overview!E7</f>
        <v>46303</v>
      </c>
      <c r="E5" s="7" t="n">
        <f aca="false">Overview!F7</f>
        <v>46309</v>
      </c>
      <c r="F5" s="6" t="s">
        <v>52</v>
      </c>
      <c r="G5" s="6" t="s">
        <v>53</v>
      </c>
      <c r="H5" s="6" t="s">
        <v>18</v>
      </c>
      <c r="I5" s="6" t="s">
        <v>54</v>
      </c>
    </row>
    <row r="6" customFormat="false" ht="55.2" hidden="false" customHeight="false" outlineLevel="0" collapsed="false">
      <c r="A6" s="10" t="s">
        <v>20</v>
      </c>
      <c r="B6" s="10" t="s">
        <v>21</v>
      </c>
      <c r="C6" s="10" t="s">
        <v>17</v>
      </c>
      <c r="D6" s="11" t="n">
        <f aca="false">Overview!E8</f>
        <v>46310</v>
      </c>
      <c r="E6" s="11" t="n">
        <f aca="false">Overview!F8</f>
        <v>46323</v>
      </c>
      <c r="F6" s="10" t="s">
        <v>55</v>
      </c>
      <c r="G6" s="10" t="s">
        <v>56</v>
      </c>
      <c r="H6" s="10" t="s">
        <v>22</v>
      </c>
      <c r="I6" s="10" t="s">
        <v>57</v>
      </c>
    </row>
    <row r="7" customFormat="false" ht="55.2" hidden="false" customHeight="false" outlineLevel="0" collapsed="false">
      <c r="A7" s="6" t="s">
        <v>23</v>
      </c>
      <c r="B7" s="6" t="s">
        <v>24</v>
      </c>
      <c r="C7" s="6" t="s">
        <v>17</v>
      </c>
      <c r="D7" s="7" t="n">
        <f aca="false">Overview!E9</f>
        <v>46324</v>
      </c>
      <c r="E7" s="7" t="n">
        <f aca="false">Overview!F9</f>
        <v>46337</v>
      </c>
      <c r="F7" s="6" t="s">
        <v>58</v>
      </c>
      <c r="G7" s="6" t="s">
        <v>59</v>
      </c>
      <c r="H7" s="6" t="s">
        <v>25</v>
      </c>
      <c r="I7" s="6" t="s">
        <v>60</v>
      </c>
    </row>
    <row r="8" customFormat="false" ht="41.75" hidden="false" customHeight="false" outlineLevel="0" collapsed="false">
      <c r="A8" s="10" t="s">
        <v>26</v>
      </c>
      <c r="B8" s="10" t="s">
        <v>27</v>
      </c>
      <c r="C8" s="10" t="s">
        <v>28</v>
      </c>
      <c r="D8" s="11" t="n">
        <f aca="false">Overview!E10</f>
        <v>46338</v>
      </c>
      <c r="E8" s="11" t="n">
        <f aca="false">Overview!F10</f>
        <v>46351</v>
      </c>
      <c r="F8" s="10" t="s">
        <v>61</v>
      </c>
      <c r="G8" s="10" t="s">
        <v>62</v>
      </c>
      <c r="H8" s="10" t="s">
        <v>29</v>
      </c>
      <c r="I8" s="10" t="s">
        <v>63</v>
      </c>
    </row>
    <row r="9" customFormat="false" ht="55.2" hidden="false" customHeight="false" outlineLevel="0" collapsed="false">
      <c r="A9" s="6" t="s">
        <v>30</v>
      </c>
      <c r="B9" s="6" t="s">
        <v>31</v>
      </c>
      <c r="C9" s="6" t="s">
        <v>28</v>
      </c>
      <c r="D9" s="7" t="n">
        <f aca="false">Overview!E11</f>
        <v>46352</v>
      </c>
      <c r="E9" s="7" t="n">
        <f aca="false">Overview!F11</f>
        <v>46365</v>
      </c>
      <c r="F9" s="6" t="s">
        <v>64</v>
      </c>
      <c r="G9" s="6" t="s">
        <v>65</v>
      </c>
      <c r="H9" s="6" t="s">
        <v>32</v>
      </c>
      <c r="I9" s="6" t="s">
        <v>66</v>
      </c>
    </row>
    <row r="10" customFormat="false" ht="41.75" hidden="false" customHeight="false" outlineLevel="0" collapsed="false">
      <c r="A10" s="10" t="s">
        <v>33</v>
      </c>
      <c r="B10" s="10" t="s">
        <v>34</v>
      </c>
      <c r="C10" s="10" t="s">
        <v>28</v>
      </c>
      <c r="D10" s="11" t="n">
        <f aca="false">Overview!E12</f>
        <v>46366</v>
      </c>
      <c r="E10" s="11" t="n">
        <f aca="false">Overview!F12</f>
        <v>46379</v>
      </c>
      <c r="F10" s="10" t="s">
        <v>67</v>
      </c>
      <c r="G10" s="10" t="s">
        <v>68</v>
      </c>
      <c r="H10" s="10" t="s">
        <v>35</v>
      </c>
      <c r="I10" s="10" t="s">
        <v>69</v>
      </c>
    </row>
    <row r="11" customFormat="false" ht="28.35" hidden="false" customHeight="false" outlineLevel="0" collapsed="false">
      <c r="A11" s="6" t="s">
        <v>36</v>
      </c>
      <c r="B11" s="6" t="s">
        <v>37</v>
      </c>
      <c r="C11" s="6" t="s">
        <v>38</v>
      </c>
      <c r="D11" s="7" t="n">
        <f aca="false">Overview!E13</f>
        <v>46380</v>
      </c>
      <c r="E11" s="7" t="str">
        <f aca="false">Overview!F13</f>
        <v/>
      </c>
      <c r="F11" s="6" t="s">
        <v>70</v>
      </c>
      <c r="G11" s="6" t="s">
        <v>71</v>
      </c>
      <c r="H11" s="6" t="s">
        <v>39</v>
      </c>
      <c r="I11" s="6" t="s">
        <v>72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90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5" t="s">
        <v>75</v>
      </c>
      <c r="B4" s="5" t="s">
        <v>4</v>
      </c>
      <c r="C4" s="5" t="s">
        <v>76</v>
      </c>
      <c r="D4" s="5" t="s">
        <v>77</v>
      </c>
      <c r="E4" s="5" t="s">
        <v>78</v>
      </c>
      <c r="F4" s="5" t="s">
        <v>79</v>
      </c>
      <c r="G4" s="5" t="s">
        <v>80</v>
      </c>
      <c r="H4" s="5" t="s">
        <v>81</v>
      </c>
      <c r="I4" s="5" t="s">
        <v>82</v>
      </c>
      <c r="J4" s="5" t="s">
        <v>83</v>
      </c>
      <c r="K4" s="5" t="s">
        <v>84</v>
      </c>
      <c r="L4" s="5" t="s">
        <v>85</v>
      </c>
    </row>
    <row r="5" customFormat="false" ht="41.75" hidden="false" customHeight="false" outlineLevel="0" collapsed="false">
      <c r="A5" s="6" t="s">
        <v>86</v>
      </c>
      <c r="B5" s="6" t="s">
        <v>15</v>
      </c>
      <c r="C5" s="6" t="s">
        <v>87</v>
      </c>
      <c r="D5" s="6" t="s">
        <v>88</v>
      </c>
      <c r="E5" s="6" t="s">
        <v>89</v>
      </c>
      <c r="F5" s="6" t="s">
        <v>90</v>
      </c>
      <c r="G5" s="6"/>
      <c r="H5" s="6" t="s">
        <v>91</v>
      </c>
      <c r="I5" s="6" t="s">
        <v>92</v>
      </c>
      <c r="J5" s="9" t="s">
        <v>19</v>
      </c>
      <c r="K5" s="7"/>
      <c r="L5" s="6"/>
    </row>
    <row r="6" customFormat="false" ht="68.65" hidden="false" customHeight="false" outlineLevel="0" collapsed="false">
      <c r="A6" s="10" t="s">
        <v>93</v>
      </c>
      <c r="B6" s="10" t="s">
        <v>15</v>
      </c>
      <c r="C6" s="10" t="s">
        <v>94</v>
      </c>
      <c r="D6" s="10" t="s">
        <v>95</v>
      </c>
      <c r="E6" s="10" t="s">
        <v>96</v>
      </c>
      <c r="F6" s="10" t="s">
        <v>97</v>
      </c>
      <c r="G6" s="10"/>
      <c r="H6" s="10" t="s">
        <v>98</v>
      </c>
      <c r="I6" s="10" t="s">
        <v>92</v>
      </c>
      <c r="J6" s="9" t="s">
        <v>19</v>
      </c>
      <c r="K6" s="11"/>
      <c r="L6" s="10"/>
    </row>
    <row r="7" customFormat="false" ht="41.75" hidden="false" customHeight="false" outlineLevel="0" collapsed="false">
      <c r="A7" s="6" t="s">
        <v>99</v>
      </c>
      <c r="B7" s="6" t="s">
        <v>15</v>
      </c>
      <c r="C7" s="6" t="s">
        <v>94</v>
      </c>
      <c r="D7" s="6" t="s">
        <v>100</v>
      </c>
      <c r="E7" s="6" t="s">
        <v>101</v>
      </c>
      <c r="F7" s="6" t="s">
        <v>102</v>
      </c>
      <c r="G7" s="6"/>
      <c r="H7" s="6" t="s">
        <v>103</v>
      </c>
      <c r="I7" s="6" t="s">
        <v>104</v>
      </c>
      <c r="J7" s="9" t="s">
        <v>19</v>
      </c>
      <c r="K7" s="7"/>
      <c r="L7" s="6"/>
    </row>
    <row r="8" customFormat="false" ht="95.5" hidden="false" customHeight="false" outlineLevel="0" collapsed="false">
      <c r="A8" s="10" t="s">
        <v>105</v>
      </c>
      <c r="B8" s="10" t="s">
        <v>15</v>
      </c>
      <c r="C8" s="10" t="s">
        <v>94</v>
      </c>
      <c r="D8" s="10" t="s">
        <v>106</v>
      </c>
      <c r="E8" s="10" t="s">
        <v>107</v>
      </c>
      <c r="F8" s="10" t="s">
        <v>108</v>
      </c>
      <c r="G8" s="10"/>
      <c r="H8" s="10" t="s">
        <v>109</v>
      </c>
      <c r="I8" s="10" t="s">
        <v>104</v>
      </c>
      <c r="J8" s="9" t="s">
        <v>19</v>
      </c>
      <c r="K8" s="11"/>
      <c r="L8" s="10"/>
    </row>
    <row r="9" customFormat="false" ht="55.2" hidden="false" customHeight="false" outlineLevel="0" collapsed="false">
      <c r="A9" s="6" t="s">
        <v>110</v>
      </c>
      <c r="B9" s="6" t="s">
        <v>15</v>
      </c>
      <c r="C9" s="6" t="s">
        <v>94</v>
      </c>
      <c r="D9" s="6" t="s">
        <v>111</v>
      </c>
      <c r="E9" s="6" t="s">
        <v>112</v>
      </c>
      <c r="F9" s="6" t="s">
        <v>113</v>
      </c>
      <c r="G9" s="6"/>
      <c r="H9" s="6" t="s">
        <v>114</v>
      </c>
      <c r="I9" s="6" t="s">
        <v>104</v>
      </c>
      <c r="J9" s="9" t="s">
        <v>19</v>
      </c>
      <c r="K9" s="7"/>
      <c r="L9" s="6"/>
    </row>
    <row r="10" customFormat="false" ht="41.75" hidden="false" customHeight="false" outlineLevel="0" collapsed="false">
      <c r="A10" s="10" t="s">
        <v>115</v>
      </c>
      <c r="B10" s="10" t="s">
        <v>15</v>
      </c>
      <c r="C10" s="10" t="s">
        <v>94</v>
      </c>
      <c r="D10" s="10" t="s">
        <v>116</v>
      </c>
      <c r="E10" s="10" t="s">
        <v>117</v>
      </c>
      <c r="F10" s="10" t="s">
        <v>118</v>
      </c>
      <c r="G10" s="10"/>
      <c r="H10" s="10" t="s">
        <v>119</v>
      </c>
      <c r="I10" s="10" t="s">
        <v>92</v>
      </c>
      <c r="J10" s="9" t="s">
        <v>19</v>
      </c>
      <c r="K10" s="11"/>
      <c r="L10" s="10"/>
    </row>
    <row r="11" customFormat="false" ht="68.65" hidden="false" customHeight="false" outlineLevel="0" collapsed="false">
      <c r="A11" s="6" t="s">
        <v>120</v>
      </c>
      <c r="B11" s="6" t="s">
        <v>15</v>
      </c>
      <c r="C11" s="6" t="s">
        <v>121</v>
      </c>
      <c r="D11" s="6" t="s">
        <v>122</v>
      </c>
      <c r="E11" s="6" t="s">
        <v>123</v>
      </c>
      <c r="F11" s="6" t="s">
        <v>124</v>
      </c>
      <c r="G11" s="6"/>
      <c r="H11" s="6" t="s">
        <v>125</v>
      </c>
      <c r="I11" s="6" t="s">
        <v>104</v>
      </c>
      <c r="J11" s="9" t="s">
        <v>19</v>
      </c>
      <c r="K11" s="7"/>
      <c r="L11" s="6"/>
    </row>
    <row r="12" customFormat="false" ht="41.75" hidden="false" customHeight="false" outlineLevel="0" collapsed="false">
      <c r="A12" s="10" t="s">
        <v>126</v>
      </c>
      <c r="B12" s="10" t="s">
        <v>15</v>
      </c>
      <c r="C12" s="10" t="s">
        <v>121</v>
      </c>
      <c r="D12" s="10" t="s">
        <v>127</v>
      </c>
      <c r="E12" s="10" t="s">
        <v>128</v>
      </c>
      <c r="F12" s="10" t="s">
        <v>129</v>
      </c>
      <c r="G12" s="10"/>
      <c r="H12" s="10" t="s">
        <v>130</v>
      </c>
      <c r="I12" s="10" t="s">
        <v>104</v>
      </c>
      <c r="J12" s="9" t="s">
        <v>19</v>
      </c>
      <c r="K12" s="11"/>
      <c r="L12" s="10"/>
    </row>
    <row r="13" customFormat="false" ht="28.35" hidden="false" customHeight="false" outlineLevel="0" collapsed="false">
      <c r="A13" s="6" t="s">
        <v>131</v>
      </c>
      <c r="B13" s="6" t="s">
        <v>15</v>
      </c>
      <c r="C13" s="6" t="s">
        <v>121</v>
      </c>
      <c r="D13" s="6" t="s">
        <v>132</v>
      </c>
      <c r="E13" s="6" t="s">
        <v>133</v>
      </c>
      <c r="F13" s="6" t="s">
        <v>134</v>
      </c>
      <c r="G13" s="6"/>
      <c r="H13" s="6" t="s">
        <v>135</v>
      </c>
      <c r="I13" s="6" t="s">
        <v>104</v>
      </c>
      <c r="J13" s="9" t="s">
        <v>19</v>
      </c>
      <c r="K13" s="7"/>
      <c r="L13" s="6"/>
    </row>
    <row r="14" customFormat="false" ht="95.5" hidden="false" customHeight="false" outlineLevel="0" collapsed="false">
      <c r="A14" s="10" t="s">
        <v>136</v>
      </c>
      <c r="B14" s="10" t="s">
        <v>15</v>
      </c>
      <c r="C14" s="10" t="s">
        <v>121</v>
      </c>
      <c r="D14" s="10" t="s">
        <v>137</v>
      </c>
      <c r="E14" s="10" t="s">
        <v>138</v>
      </c>
      <c r="F14" s="10" t="s">
        <v>139</v>
      </c>
      <c r="G14" s="10"/>
      <c r="H14" s="10" t="s">
        <v>140</v>
      </c>
      <c r="I14" s="10" t="s">
        <v>92</v>
      </c>
      <c r="J14" s="9" t="s">
        <v>19</v>
      </c>
      <c r="K14" s="11"/>
      <c r="L14" s="10"/>
    </row>
    <row r="15" customFormat="false" ht="68.65" hidden="false" customHeight="false" outlineLevel="0" collapsed="false">
      <c r="A15" s="6" t="s">
        <v>141</v>
      </c>
      <c r="B15" s="6" t="s">
        <v>15</v>
      </c>
      <c r="C15" s="6" t="s">
        <v>121</v>
      </c>
      <c r="D15" s="6" t="s">
        <v>142</v>
      </c>
      <c r="E15" s="6" t="s">
        <v>143</v>
      </c>
      <c r="F15" s="6" t="s">
        <v>144</v>
      </c>
      <c r="G15" s="6"/>
      <c r="H15" s="6" t="s">
        <v>145</v>
      </c>
      <c r="I15" s="6" t="s">
        <v>104</v>
      </c>
      <c r="J15" s="9" t="s">
        <v>19</v>
      </c>
      <c r="K15" s="7"/>
      <c r="L15" s="6"/>
    </row>
    <row r="16" customFormat="false" ht="15" hidden="false" customHeight="false" outlineLevel="0" collapsed="false">
      <c r="A16" s="10" t="s">
        <v>146</v>
      </c>
      <c r="B16" s="10" t="s">
        <v>15</v>
      </c>
      <c r="C16" s="10" t="s">
        <v>121</v>
      </c>
      <c r="D16" s="10" t="s">
        <v>147</v>
      </c>
      <c r="E16" s="10" t="s">
        <v>148</v>
      </c>
      <c r="F16" s="10" t="s">
        <v>149</v>
      </c>
      <c r="G16" s="10"/>
      <c r="H16" s="10" t="s">
        <v>150</v>
      </c>
      <c r="I16" s="10" t="s">
        <v>104</v>
      </c>
      <c r="J16" s="9" t="s">
        <v>19</v>
      </c>
      <c r="K16" s="11"/>
      <c r="L16" s="10"/>
    </row>
    <row r="17" customFormat="false" ht="41.75" hidden="false" customHeight="false" outlineLevel="0" collapsed="false">
      <c r="A17" s="6" t="s">
        <v>151</v>
      </c>
      <c r="B17" s="6" t="s">
        <v>15</v>
      </c>
      <c r="C17" s="6" t="s">
        <v>152</v>
      </c>
      <c r="D17" s="6" t="s">
        <v>153</v>
      </c>
      <c r="E17" s="6" t="s">
        <v>154</v>
      </c>
      <c r="F17" s="6" t="s">
        <v>155</v>
      </c>
      <c r="G17" s="6"/>
      <c r="H17" s="6" t="s">
        <v>156</v>
      </c>
      <c r="I17" s="6" t="s">
        <v>92</v>
      </c>
      <c r="J17" s="9" t="s">
        <v>19</v>
      </c>
      <c r="K17" s="7"/>
      <c r="L17" s="6"/>
    </row>
    <row r="18" customFormat="false" ht="28.35" hidden="false" customHeight="false" outlineLevel="0" collapsed="false">
      <c r="A18" s="10" t="s">
        <v>157</v>
      </c>
      <c r="B18" s="10" t="s">
        <v>15</v>
      </c>
      <c r="C18" s="10" t="s">
        <v>94</v>
      </c>
      <c r="D18" s="10" t="s">
        <v>158</v>
      </c>
      <c r="E18" s="10" t="s">
        <v>159</v>
      </c>
      <c r="F18" s="10" t="s">
        <v>160</v>
      </c>
      <c r="G18" s="10"/>
      <c r="H18" s="10" t="s">
        <v>161</v>
      </c>
      <c r="I18" s="10" t="s">
        <v>104</v>
      </c>
      <c r="J18" s="9" t="s">
        <v>19</v>
      </c>
      <c r="K18" s="11"/>
      <c r="L18" s="10"/>
    </row>
    <row r="19" customFormat="false" ht="55.2" hidden="false" customHeight="false" outlineLevel="0" collapsed="false">
      <c r="A19" s="6" t="s">
        <v>162</v>
      </c>
      <c r="B19" s="6" t="s">
        <v>20</v>
      </c>
      <c r="C19" s="6" t="s">
        <v>163</v>
      </c>
      <c r="D19" s="6" t="s">
        <v>164</v>
      </c>
      <c r="E19" s="6" t="s">
        <v>165</v>
      </c>
      <c r="F19" s="6" t="s">
        <v>166</v>
      </c>
      <c r="G19" s="6"/>
      <c r="H19" s="6" t="s">
        <v>167</v>
      </c>
      <c r="I19" s="6" t="s">
        <v>104</v>
      </c>
      <c r="J19" s="9" t="s">
        <v>19</v>
      </c>
      <c r="K19" s="7"/>
      <c r="L19" s="6"/>
    </row>
    <row r="20" customFormat="false" ht="176.1" hidden="false" customHeight="false" outlineLevel="0" collapsed="false">
      <c r="A20" s="10" t="s">
        <v>168</v>
      </c>
      <c r="B20" s="10" t="s">
        <v>20</v>
      </c>
      <c r="C20" s="10" t="s">
        <v>163</v>
      </c>
      <c r="D20" s="10" t="s">
        <v>169</v>
      </c>
      <c r="E20" s="10" t="s">
        <v>170</v>
      </c>
      <c r="F20" s="10" t="s">
        <v>171</v>
      </c>
      <c r="G20" s="10" t="s">
        <v>172</v>
      </c>
      <c r="H20" s="10" t="s">
        <v>173</v>
      </c>
      <c r="I20" s="10" t="s">
        <v>104</v>
      </c>
      <c r="J20" s="9" t="s">
        <v>19</v>
      </c>
      <c r="K20" s="11"/>
      <c r="L20" s="10"/>
    </row>
    <row r="21" customFormat="false" ht="176.1" hidden="false" customHeight="false" outlineLevel="0" collapsed="false">
      <c r="A21" s="6" t="s">
        <v>174</v>
      </c>
      <c r="B21" s="6" t="s">
        <v>20</v>
      </c>
      <c r="C21" s="6" t="s">
        <v>163</v>
      </c>
      <c r="D21" s="6" t="s">
        <v>175</v>
      </c>
      <c r="E21" s="6" t="s">
        <v>176</v>
      </c>
      <c r="F21" s="6" t="s">
        <v>177</v>
      </c>
      <c r="G21" s="6" t="s">
        <v>178</v>
      </c>
      <c r="H21" s="6" t="s">
        <v>179</v>
      </c>
      <c r="I21" s="6" t="s">
        <v>104</v>
      </c>
      <c r="J21" s="9" t="s">
        <v>19</v>
      </c>
      <c r="K21" s="7"/>
      <c r="L21" s="6"/>
    </row>
    <row r="22" customFormat="false" ht="162.65" hidden="false" customHeight="false" outlineLevel="0" collapsed="false">
      <c r="A22" s="10" t="s">
        <v>180</v>
      </c>
      <c r="B22" s="10" t="s">
        <v>20</v>
      </c>
      <c r="C22" s="10" t="s">
        <v>163</v>
      </c>
      <c r="D22" s="10" t="s">
        <v>181</v>
      </c>
      <c r="E22" s="10" t="s">
        <v>170</v>
      </c>
      <c r="F22" s="10" t="s">
        <v>182</v>
      </c>
      <c r="G22" s="10" t="s">
        <v>183</v>
      </c>
      <c r="H22" s="10" t="s">
        <v>184</v>
      </c>
      <c r="I22" s="10" t="s">
        <v>104</v>
      </c>
      <c r="J22" s="9" t="s">
        <v>19</v>
      </c>
      <c r="K22" s="11"/>
      <c r="L22" s="10"/>
    </row>
    <row r="23" customFormat="false" ht="189.55" hidden="false" customHeight="false" outlineLevel="0" collapsed="false">
      <c r="A23" s="6" t="s">
        <v>185</v>
      </c>
      <c r="B23" s="6" t="s">
        <v>20</v>
      </c>
      <c r="C23" s="6" t="s">
        <v>163</v>
      </c>
      <c r="D23" s="6" t="s">
        <v>186</v>
      </c>
      <c r="E23" s="6" t="s">
        <v>187</v>
      </c>
      <c r="F23" s="6" t="s">
        <v>188</v>
      </c>
      <c r="G23" s="6" t="s">
        <v>189</v>
      </c>
      <c r="H23" s="6" t="s">
        <v>190</v>
      </c>
      <c r="I23" s="6" t="s">
        <v>104</v>
      </c>
      <c r="J23" s="9" t="s">
        <v>19</v>
      </c>
      <c r="K23" s="7"/>
      <c r="L23" s="6"/>
    </row>
    <row r="24" customFormat="false" ht="68.65" hidden="false" customHeight="false" outlineLevel="0" collapsed="false">
      <c r="A24" s="10" t="s">
        <v>191</v>
      </c>
      <c r="B24" s="10" t="s">
        <v>20</v>
      </c>
      <c r="C24" s="10" t="s">
        <v>163</v>
      </c>
      <c r="D24" s="10" t="s">
        <v>192</v>
      </c>
      <c r="E24" s="10" t="s">
        <v>193</v>
      </c>
      <c r="F24" s="10" t="s">
        <v>194</v>
      </c>
      <c r="G24" s="10" t="s">
        <v>195</v>
      </c>
      <c r="H24" s="10" t="s">
        <v>196</v>
      </c>
      <c r="I24" s="10" t="s">
        <v>104</v>
      </c>
      <c r="J24" s="9" t="s">
        <v>19</v>
      </c>
      <c r="K24" s="11"/>
      <c r="L24" s="10"/>
    </row>
    <row r="25" customFormat="false" ht="122.35" hidden="false" customHeight="false" outlineLevel="0" collapsed="false">
      <c r="A25" s="6" t="s">
        <v>197</v>
      </c>
      <c r="B25" s="6" t="s">
        <v>20</v>
      </c>
      <c r="C25" s="6" t="s">
        <v>163</v>
      </c>
      <c r="D25" s="6" t="s">
        <v>198</v>
      </c>
      <c r="E25" s="6" t="s">
        <v>199</v>
      </c>
      <c r="F25" s="6" t="s">
        <v>200</v>
      </c>
      <c r="G25" s="6" t="s">
        <v>201</v>
      </c>
      <c r="H25" s="6" t="s">
        <v>202</v>
      </c>
      <c r="I25" s="6" t="s">
        <v>104</v>
      </c>
      <c r="J25" s="9" t="s">
        <v>19</v>
      </c>
      <c r="K25" s="7"/>
      <c r="L25" s="6"/>
    </row>
    <row r="26" customFormat="false" ht="82.05" hidden="false" customHeight="false" outlineLevel="0" collapsed="false">
      <c r="A26" s="10" t="s">
        <v>203</v>
      </c>
      <c r="B26" s="10" t="s">
        <v>20</v>
      </c>
      <c r="C26" s="10" t="s">
        <v>163</v>
      </c>
      <c r="D26" s="10" t="s">
        <v>204</v>
      </c>
      <c r="E26" s="10" t="s">
        <v>205</v>
      </c>
      <c r="F26" s="10" t="s">
        <v>206</v>
      </c>
      <c r="G26" s="10" t="s">
        <v>207</v>
      </c>
      <c r="H26" s="10" t="s">
        <v>208</v>
      </c>
      <c r="I26" s="10" t="s">
        <v>104</v>
      </c>
      <c r="J26" s="9" t="s">
        <v>19</v>
      </c>
      <c r="K26" s="11"/>
      <c r="L26" s="10"/>
    </row>
    <row r="27" customFormat="false" ht="216.4" hidden="false" customHeight="false" outlineLevel="0" collapsed="false">
      <c r="A27" s="6" t="s">
        <v>209</v>
      </c>
      <c r="B27" s="6" t="s">
        <v>20</v>
      </c>
      <c r="C27" s="6" t="s">
        <v>163</v>
      </c>
      <c r="D27" s="6" t="s">
        <v>210</v>
      </c>
      <c r="E27" s="6" t="s">
        <v>211</v>
      </c>
      <c r="F27" s="6" t="s">
        <v>212</v>
      </c>
      <c r="G27" s="6" t="s">
        <v>213</v>
      </c>
      <c r="H27" s="6" t="s">
        <v>214</v>
      </c>
      <c r="I27" s="6" t="s">
        <v>104</v>
      </c>
      <c r="J27" s="9" t="s">
        <v>19</v>
      </c>
      <c r="K27" s="7"/>
      <c r="L27" s="6"/>
    </row>
    <row r="28" customFormat="false" ht="162.65" hidden="false" customHeight="false" outlineLevel="0" collapsed="false">
      <c r="A28" s="10" t="s">
        <v>215</v>
      </c>
      <c r="B28" s="10" t="s">
        <v>20</v>
      </c>
      <c r="C28" s="10" t="s">
        <v>163</v>
      </c>
      <c r="D28" s="10" t="s">
        <v>216</v>
      </c>
      <c r="E28" s="10" t="s">
        <v>217</v>
      </c>
      <c r="F28" s="10" t="s">
        <v>218</v>
      </c>
      <c r="G28" s="10" t="s">
        <v>219</v>
      </c>
      <c r="H28" s="10" t="s">
        <v>220</v>
      </c>
      <c r="I28" s="10" t="s">
        <v>104</v>
      </c>
      <c r="J28" s="9" t="s">
        <v>19</v>
      </c>
      <c r="K28" s="11"/>
      <c r="L28" s="10"/>
    </row>
    <row r="29" customFormat="false" ht="28.35" hidden="false" customHeight="false" outlineLevel="0" collapsed="false">
      <c r="A29" s="6" t="s">
        <v>221</v>
      </c>
      <c r="B29" s="6" t="s">
        <v>20</v>
      </c>
      <c r="C29" s="6" t="s">
        <v>222</v>
      </c>
      <c r="D29" s="6" t="s">
        <v>223</v>
      </c>
      <c r="E29" s="6" t="s">
        <v>224</v>
      </c>
      <c r="F29" s="6" t="s">
        <v>225</v>
      </c>
      <c r="G29" s="6"/>
      <c r="H29" s="6" t="s">
        <v>226</v>
      </c>
      <c r="I29" s="6" t="s">
        <v>104</v>
      </c>
      <c r="J29" s="9" t="s">
        <v>19</v>
      </c>
      <c r="K29" s="7"/>
      <c r="L29" s="6"/>
    </row>
    <row r="30" customFormat="false" ht="176.1" hidden="false" customHeight="false" outlineLevel="0" collapsed="false">
      <c r="A30" s="10" t="s">
        <v>227</v>
      </c>
      <c r="B30" s="10" t="s">
        <v>20</v>
      </c>
      <c r="C30" s="10" t="s">
        <v>228</v>
      </c>
      <c r="D30" s="10" t="s">
        <v>229</v>
      </c>
      <c r="E30" s="10" t="s">
        <v>230</v>
      </c>
      <c r="F30" s="10" t="s">
        <v>231</v>
      </c>
      <c r="G30" s="10" t="s">
        <v>172</v>
      </c>
      <c r="H30" s="10" t="s">
        <v>232</v>
      </c>
      <c r="I30" s="10" t="s">
        <v>104</v>
      </c>
      <c r="J30" s="9" t="s">
        <v>19</v>
      </c>
      <c r="K30" s="11"/>
      <c r="L30" s="10"/>
    </row>
    <row r="31" customFormat="false" ht="108.95" hidden="false" customHeight="false" outlineLevel="0" collapsed="false">
      <c r="A31" s="6" t="s">
        <v>233</v>
      </c>
      <c r="B31" s="6" t="s">
        <v>20</v>
      </c>
      <c r="C31" s="6" t="s">
        <v>228</v>
      </c>
      <c r="D31" s="6" t="s">
        <v>234</v>
      </c>
      <c r="E31" s="6" t="s">
        <v>170</v>
      </c>
      <c r="F31" s="6" t="s">
        <v>235</v>
      </c>
      <c r="G31" s="6" t="s">
        <v>236</v>
      </c>
      <c r="H31" s="6" t="s">
        <v>237</v>
      </c>
      <c r="I31" s="6" t="s">
        <v>104</v>
      </c>
      <c r="J31" s="9" t="s">
        <v>19</v>
      </c>
      <c r="K31" s="7"/>
      <c r="L31" s="6"/>
    </row>
    <row r="32" customFormat="false" ht="350.7" hidden="false" customHeight="false" outlineLevel="0" collapsed="false">
      <c r="A32" s="10" t="s">
        <v>238</v>
      </c>
      <c r="B32" s="10" t="s">
        <v>20</v>
      </c>
      <c r="C32" s="10" t="s">
        <v>228</v>
      </c>
      <c r="D32" s="10" t="s">
        <v>239</v>
      </c>
      <c r="E32" s="10" t="s">
        <v>240</v>
      </c>
      <c r="F32" s="10" t="s">
        <v>241</v>
      </c>
      <c r="G32" s="10" t="s">
        <v>242</v>
      </c>
      <c r="H32" s="10" t="s">
        <v>243</v>
      </c>
      <c r="I32" s="10" t="s">
        <v>104</v>
      </c>
      <c r="J32" s="9" t="s">
        <v>19</v>
      </c>
      <c r="K32" s="11"/>
      <c r="L32" s="10"/>
    </row>
    <row r="33" customFormat="false" ht="82.05" hidden="false" customHeight="false" outlineLevel="0" collapsed="false">
      <c r="A33" s="6" t="s">
        <v>244</v>
      </c>
      <c r="B33" s="6" t="s">
        <v>20</v>
      </c>
      <c r="C33" s="6" t="s">
        <v>228</v>
      </c>
      <c r="D33" s="6" t="s">
        <v>245</v>
      </c>
      <c r="E33" s="6" t="s">
        <v>246</v>
      </c>
      <c r="F33" s="6" t="s">
        <v>247</v>
      </c>
      <c r="G33" s="6" t="s">
        <v>248</v>
      </c>
      <c r="H33" s="6" t="s">
        <v>249</v>
      </c>
      <c r="I33" s="6" t="s">
        <v>104</v>
      </c>
      <c r="J33" s="9" t="s">
        <v>19</v>
      </c>
      <c r="K33" s="7"/>
      <c r="L33" s="6"/>
    </row>
    <row r="34" customFormat="false" ht="162.65" hidden="false" customHeight="false" outlineLevel="0" collapsed="false">
      <c r="A34" s="10" t="s">
        <v>250</v>
      </c>
      <c r="B34" s="10" t="s">
        <v>20</v>
      </c>
      <c r="C34" s="10" t="s">
        <v>228</v>
      </c>
      <c r="D34" s="10" t="s">
        <v>251</v>
      </c>
      <c r="E34" s="10" t="s">
        <v>252</v>
      </c>
      <c r="F34" s="10" t="s">
        <v>253</v>
      </c>
      <c r="G34" s="10" t="s">
        <v>219</v>
      </c>
      <c r="H34" s="10" t="s">
        <v>254</v>
      </c>
      <c r="I34" s="10" t="s">
        <v>104</v>
      </c>
      <c r="J34" s="9" t="s">
        <v>19</v>
      </c>
      <c r="K34" s="11"/>
      <c r="L34" s="10"/>
    </row>
    <row r="35" customFormat="false" ht="202.95" hidden="false" customHeight="false" outlineLevel="0" collapsed="false">
      <c r="A35" s="6" t="s">
        <v>255</v>
      </c>
      <c r="B35" s="6" t="s">
        <v>20</v>
      </c>
      <c r="C35" s="6" t="s">
        <v>256</v>
      </c>
      <c r="D35" s="6" t="s">
        <v>257</v>
      </c>
      <c r="E35" s="6" t="s">
        <v>230</v>
      </c>
      <c r="F35" s="6" t="s">
        <v>258</v>
      </c>
      <c r="G35" s="6" t="s">
        <v>259</v>
      </c>
      <c r="H35" s="6" t="s">
        <v>232</v>
      </c>
      <c r="I35" s="6" t="s">
        <v>104</v>
      </c>
      <c r="J35" s="9" t="s">
        <v>19</v>
      </c>
      <c r="K35" s="7"/>
      <c r="L35" s="6"/>
    </row>
    <row r="36" customFormat="false" ht="202.95" hidden="false" customHeight="false" outlineLevel="0" collapsed="false">
      <c r="A36" s="10" t="s">
        <v>260</v>
      </c>
      <c r="B36" s="10" t="s">
        <v>20</v>
      </c>
      <c r="C36" s="10" t="s">
        <v>256</v>
      </c>
      <c r="D36" s="10" t="s">
        <v>261</v>
      </c>
      <c r="E36" s="10" t="s">
        <v>170</v>
      </c>
      <c r="F36" s="10" t="s">
        <v>262</v>
      </c>
      <c r="G36" s="10" t="s">
        <v>263</v>
      </c>
      <c r="H36" s="10" t="s">
        <v>264</v>
      </c>
      <c r="I36" s="10" t="s">
        <v>104</v>
      </c>
      <c r="J36" s="9" t="s">
        <v>19</v>
      </c>
      <c r="K36" s="11"/>
      <c r="L36" s="10"/>
    </row>
    <row r="37" customFormat="false" ht="176.1" hidden="false" customHeight="false" outlineLevel="0" collapsed="false">
      <c r="A37" s="6" t="s">
        <v>265</v>
      </c>
      <c r="B37" s="6" t="s">
        <v>20</v>
      </c>
      <c r="C37" s="6" t="s">
        <v>256</v>
      </c>
      <c r="D37" s="6" t="s">
        <v>266</v>
      </c>
      <c r="E37" s="6" t="s">
        <v>170</v>
      </c>
      <c r="F37" s="6" t="s">
        <v>267</v>
      </c>
      <c r="G37" s="6" t="s">
        <v>268</v>
      </c>
      <c r="H37" s="6" t="s">
        <v>269</v>
      </c>
      <c r="I37" s="6" t="s">
        <v>104</v>
      </c>
      <c r="J37" s="9" t="s">
        <v>19</v>
      </c>
      <c r="K37" s="7"/>
      <c r="L37" s="6"/>
    </row>
    <row r="38" customFormat="false" ht="310.4" hidden="false" customHeight="false" outlineLevel="0" collapsed="false">
      <c r="A38" s="10" t="s">
        <v>270</v>
      </c>
      <c r="B38" s="10" t="s">
        <v>20</v>
      </c>
      <c r="C38" s="10" t="s">
        <v>256</v>
      </c>
      <c r="D38" s="10" t="s">
        <v>271</v>
      </c>
      <c r="E38" s="10" t="s">
        <v>170</v>
      </c>
      <c r="F38" s="10" t="s">
        <v>272</v>
      </c>
      <c r="G38" s="10" t="s">
        <v>273</v>
      </c>
      <c r="H38" s="10" t="s">
        <v>274</v>
      </c>
      <c r="I38" s="10" t="s">
        <v>104</v>
      </c>
      <c r="J38" s="9" t="s">
        <v>19</v>
      </c>
      <c r="K38" s="11"/>
      <c r="L38" s="10"/>
    </row>
    <row r="39" customFormat="false" ht="162.65" hidden="false" customHeight="false" outlineLevel="0" collapsed="false">
      <c r="A39" s="6" t="s">
        <v>275</v>
      </c>
      <c r="B39" s="6" t="s">
        <v>20</v>
      </c>
      <c r="C39" s="6" t="s">
        <v>256</v>
      </c>
      <c r="D39" s="6" t="s">
        <v>251</v>
      </c>
      <c r="E39" s="6" t="s">
        <v>252</v>
      </c>
      <c r="F39" s="6" t="s">
        <v>276</v>
      </c>
      <c r="G39" s="6" t="s">
        <v>219</v>
      </c>
      <c r="H39" s="6" t="s">
        <v>277</v>
      </c>
      <c r="I39" s="6" t="s">
        <v>104</v>
      </c>
      <c r="J39" s="9" t="s">
        <v>19</v>
      </c>
      <c r="K39" s="7"/>
      <c r="L39" s="6"/>
    </row>
    <row r="40" customFormat="false" ht="28.35" hidden="false" customHeight="false" outlineLevel="0" collapsed="false">
      <c r="A40" s="10" t="s">
        <v>278</v>
      </c>
      <c r="B40" s="10" t="s">
        <v>20</v>
      </c>
      <c r="C40" s="10" t="s">
        <v>222</v>
      </c>
      <c r="D40" s="10" t="s">
        <v>279</v>
      </c>
      <c r="E40" s="10" t="s">
        <v>280</v>
      </c>
      <c r="F40" s="10" t="s">
        <v>281</v>
      </c>
      <c r="G40" s="10"/>
      <c r="H40" s="10" t="s">
        <v>282</v>
      </c>
      <c r="I40" s="10" t="s">
        <v>104</v>
      </c>
      <c r="J40" s="9" t="s">
        <v>19</v>
      </c>
      <c r="K40" s="11"/>
      <c r="L40" s="10"/>
    </row>
    <row r="41" customFormat="false" ht="176.1" hidden="false" customHeight="false" outlineLevel="0" collapsed="false">
      <c r="A41" s="6" t="s">
        <v>283</v>
      </c>
      <c r="B41" s="6" t="s">
        <v>23</v>
      </c>
      <c r="C41" s="6" t="s">
        <v>284</v>
      </c>
      <c r="D41" s="6" t="s">
        <v>285</v>
      </c>
      <c r="E41" s="6" t="s">
        <v>230</v>
      </c>
      <c r="F41" s="6" t="s">
        <v>286</v>
      </c>
      <c r="G41" s="6" t="s">
        <v>172</v>
      </c>
      <c r="H41" s="6" t="s">
        <v>232</v>
      </c>
      <c r="I41" s="6" t="s">
        <v>104</v>
      </c>
      <c r="J41" s="9" t="s">
        <v>19</v>
      </c>
      <c r="K41" s="7"/>
      <c r="L41" s="6"/>
    </row>
    <row r="42" customFormat="false" ht="55.2" hidden="false" customHeight="false" outlineLevel="0" collapsed="false">
      <c r="A42" s="10" t="s">
        <v>287</v>
      </c>
      <c r="B42" s="10" t="s">
        <v>23</v>
      </c>
      <c r="C42" s="10" t="s">
        <v>284</v>
      </c>
      <c r="D42" s="10" t="s">
        <v>288</v>
      </c>
      <c r="E42" s="10" t="s">
        <v>170</v>
      </c>
      <c r="F42" s="10" t="s">
        <v>289</v>
      </c>
      <c r="G42" s="10" t="s">
        <v>290</v>
      </c>
      <c r="H42" s="10" t="s">
        <v>291</v>
      </c>
      <c r="I42" s="10" t="s">
        <v>104</v>
      </c>
      <c r="J42" s="9" t="s">
        <v>19</v>
      </c>
      <c r="K42" s="11"/>
      <c r="L42" s="10"/>
    </row>
    <row r="43" customFormat="false" ht="82.05" hidden="false" customHeight="false" outlineLevel="0" collapsed="false">
      <c r="A43" s="6" t="s">
        <v>292</v>
      </c>
      <c r="B43" s="6" t="s">
        <v>23</v>
      </c>
      <c r="C43" s="6" t="s">
        <v>284</v>
      </c>
      <c r="D43" s="6" t="s">
        <v>293</v>
      </c>
      <c r="E43" s="6" t="s">
        <v>294</v>
      </c>
      <c r="F43" s="6" t="s">
        <v>295</v>
      </c>
      <c r="G43" s="6" t="s">
        <v>296</v>
      </c>
      <c r="H43" s="6" t="s">
        <v>297</v>
      </c>
      <c r="I43" s="6" t="s">
        <v>104</v>
      </c>
      <c r="J43" s="9" t="s">
        <v>19</v>
      </c>
      <c r="K43" s="7"/>
      <c r="L43" s="6"/>
    </row>
    <row r="44" customFormat="false" ht="82.05" hidden="false" customHeight="false" outlineLevel="0" collapsed="false">
      <c r="A44" s="10" t="s">
        <v>298</v>
      </c>
      <c r="B44" s="10" t="s">
        <v>23</v>
      </c>
      <c r="C44" s="10" t="s">
        <v>284</v>
      </c>
      <c r="D44" s="10" t="s">
        <v>299</v>
      </c>
      <c r="E44" s="10" t="s">
        <v>300</v>
      </c>
      <c r="F44" s="10" t="s">
        <v>301</v>
      </c>
      <c r="G44" s="10"/>
      <c r="H44" s="10" t="s">
        <v>302</v>
      </c>
      <c r="I44" s="10" t="s">
        <v>104</v>
      </c>
      <c r="J44" s="9" t="s">
        <v>19</v>
      </c>
      <c r="K44" s="11"/>
      <c r="L44" s="10"/>
    </row>
    <row r="45" customFormat="false" ht="122.35" hidden="false" customHeight="false" outlineLevel="0" collapsed="false">
      <c r="A45" s="6" t="s">
        <v>303</v>
      </c>
      <c r="B45" s="6" t="s">
        <v>23</v>
      </c>
      <c r="C45" s="6" t="s">
        <v>284</v>
      </c>
      <c r="D45" s="6" t="s">
        <v>304</v>
      </c>
      <c r="E45" s="6" t="s">
        <v>305</v>
      </c>
      <c r="F45" s="6" t="s">
        <v>306</v>
      </c>
      <c r="G45" s="6" t="s">
        <v>307</v>
      </c>
      <c r="H45" s="6" t="s">
        <v>308</v>
      </c>
      <c r="I45" s="6" t="s">
        <v>104</v>
      </c>
      <c r="J45" s="9" t="s">
        <v>19</v>
      </c>
      <c r="K45" s="7"/>
      <c r="L45" s="6"/>
    </row>
    <row r="46" customFormat="false" ht="431.3" hidden="false" customHeight="false" outlineLevel="0" collapsed="false">
      <c r="A46" s="10" t="s">
        <v>309</v>
      </c>
      <c r="B46" s="10" t="s">
        <v>23</v>
      </c>
      <c r="C46" s="10" t="s">
        <v>284</v>
      </c>
      <c r="D46" s="10" t="s">
        <v>310</v>
      </c>
      <c r="E46" s="10" t="s">
        <v>311</v>
      </c>
      <c r="F46" s="10" t="s">
        <v>312</v>
      </c>
      <c r="G46" s="10" t="s">
        <v>313</v>
      </c>
      <c r="H46" s="10" t="s">
        <v>314</v>
      </c>
      <c r="I46" s="10" t="s">
        <v>104</v>
      </c>
      <c r="J46" s="9" t="s">
        <v>19</v>
      </c>
      <c r="K46" s="11"/>
      <c r="L46" s="10"/>
    </row>
    <row r="47" customFormat="false" ht="55.2" hidden="false" customHeight="false" outlineLevel="0" collapsed="false">
      <c r="A47" s="6" t="s">
        <v>315</v>
      </c>
      <c r="B47" s="6" t="s">
        <v>23</v>
      </c>
      <c r="C47" s="6" t="s">
        <v>284</v>
      </c>
      <c r="D47" s="6" t="s">
        <v>316</v>
      </c>
      <c r="E47" s="6" t="s">
        <v>317</v>
      </c>
      <c r="F47" s="6" t="s">
        <v>318</v>
      </c>
      <c r="G47" s="6" t="s">
        <v>319</v>
      </c>
      <c r="H47" s="6" t="s">
        <v>320</v>
      </c>
      <c r="I47" s="6" t="s">
        <v>104</v>
      </c>
      <c r="J47" s="9" t="s">
        <v>19</v>
      </c>
      <c r="K47" s="7"/>
      <c r="L47" s="6"/>
    </row>
    <row r="48" customFormat="false" ht="350.7" hidden="false" customHeight="false" outlineLevel="0" collapsed="false">
      <c r="A48" s="10" t="s">
        <v>321</v>
      </c>
      <c r="B48" s="10" t="s">
        <v>23</v>
      </c>
      <c r="C48" s="10" t="s">
        <v>284</v>
      </c>
      <c r="D48" s="10" t="s">
        <v>322</v>
      </c>
      <c r="E48" s="10" t="s">
        <v>323</v>
      </c>
      <c r="F48" s="10" t="s">
        <v>324</v>
      </c>
      <c r="G48" s="10" t="s">
        <v>325</v>
      </c>
      <c r="H48" s="10" t="s">
        <v>326</v>
      </c>
      <c r="I48" s="10" t="s">
        <v>104</v>
      </c>
      <c r="J48" s="9" t="s">
        <v>19</v>
      </c>
      <c r="K48" s="11"/>
      <c r="L48" s="10"/>
    </row>
    <row r="49" customFormat="false" ht="162.65" hidden="false" customHeight="false" outlineLevel="0" collapsed="false">
      <c r="A49" s="6" t="s">
        <v>327</v>
      </c>
      <c r="B49" s="6" t="s">
        <v>23</v>
      </c>
      <c r="C49" s="6" t="s">
        <v>284</v>
      </c>
      <c r="D49" s="6" t="s">
        <v>328</v>
      </c>
      <c r="E49" s="6" t="s">
        <v>252</v>
      </c>
      <c r="F49" s="6" t="s">
        <v>329</v>
      </c>
      <c r="G49" s="6" t="s">
        <v>219</v>
      </c>
      <c r="H49" s="6" t="s">
        <v>232</v>
      </c>
      <c r="I49" s="6" t="s">
        <v>104</v>
      </c>
      <c r="J49" s="9" t="s">
        <v>19</v>
      </c>
      <c r="K49" s="7"/>
      <c r="L49" s="6"/>
    </row>
    <row r="50" customFormat="false" ht="310.4" hidden="false" customHeight="false" outlineLevel="0" collapsed="false">
      <c r="A50" s="10" t="s">
        <v>330</v>
      </c>
      <c r="B50" s="10" t="s">
        <v>23</v>
      </c>
      <c r="C50" s="10" t="s">
        <v>331</v>
      </c>
      <c r="D50" s="10" t="s">
        <v>332</v>
      </c>
      <c r="E50" s="10" t="s">
        <v>230</v>
      </c>
      <c r="F50" s="10" t="s">
        <v>333</v>
      </c>
      <c r="G50" s="10" t="s">
        <v>334</v>
      </c>
      <c r="H50" s="10" t="s">
        <v>335</v>
      </c>
      <c r="I50" s="10" t="s">
        <v>104</v>
      </c>
      <c r="J50" s="9" t="s">
        <v>19</v>
      </c>
      <c r="K50" s="11"/>
      <c r="L50" s="10"/>
    </row>
    <row r="51" customFormat="false" ht="15" hidden="false" customHeight="false" outlineLevel="0" collapsed="false">
      <c r="A51" s="6" t="s">
        <v>336</v>
      </c>
      <c r="B51" s="6" t="s">
        <v>23</v>
      </c>
      <c r="C51" s="6" t="s">
        <v>222</v>
      </c>
      <c r="D51" s="6" t="s">
        <v>337</v>
      </c>
      <c r="E51" s="6" t="s">
        <v>338</v>
      </c>
      <c r="F51" s="6" t="s">
        <v>339</v>
      </c>
      <c r="G51" s="6"/>
      <c r="H51" s="6" t="s">
        <v>340</v>
      </c>
      <c r="I51" s="6" t="s">
        <v>104</v>
      </c>
      <c r="J51" s="9" t="s">
        <v>19</v>
      </c>
      <c r="K51" s="7"/>
      <c r="L51" s="6"/>
    </row>
    <row r="52" customFormat="false" ht="15" hidden="false" customHeight="false" outlineLevel="0" collapsed="false">
      <c r="A52" s="10" t="s">
        <v>341</v>
      </c>
      <c r="B52" s="10" t="s">
        <v>23</v>
      </c>
      <c r="C52" s="10" t="s">
        <v>222</v>
      </c>
      <c r="D52" s="10" t="s">
        <v>342</v>
      </c>
      <c r="E52" s="10" t="s">
        <v>338</v>
      </c>
      <c r="F52" s="10" t="s">
        <v>343</v>
      </c>
      <c r="G52" s="10"/>
      <c r="H52" s="10" t="s">
        <v>340</v>
      </c>
      <c r="I52" s="10" t="s">
        <v>104</v>
      </c>
      <c r="J52" s="9" t="s">
        <v>19</v>
      </c>
      <c r="K52" s="11"/>
      <c r="L52" s="10"/>
    </row>
    <row r="53" customFormat="false" ht="68.65" hidden="false" customHeight="false" outlineLevel="0" collapsed="false">
      <c r="A53" s="6" t="s">
        <v>344</v>
      </c>
      <c r="B53" s="6" t="s">
        <v>23</v>
      </c>
      <c r="C53" s="6" t="s">
        <v>345</v>
      </c>
      <c r="D53" s="6" t="s">
        <v>346</v>
      </c>
      <c r="E53" s="6" t="s">
        <v>347</v>
      </c>
      <c r="F53" s="6" t="s">
        <v>348</v>
      </c>
      <c r="G53" s="6"/>
      <c r="H53" s="6" t="s">
        <v>349</v>
      </c>
      <c r="I53" s="6" t="s">
        <v>92</v>
      </c>
      <c r="J53" s="9" t="s">
        <v>19</v>
      </c>
      <c r="K53" s="7"/>
      <c r="L53" s="6"/>
    </row>
    <row r="54" customFormat="false" ht="28.35" hidden="false" customHeight="false" outlineLevel="0" collapsed="false">
      <c r="A54" s="10" t="s">
        <v>350</v>
      </c>
      <c r="B54" s="10" t="s">
        <v>23</v>
      </c>
      <c r="C54" s="10" t="s">
        <v>222</v>
      </c>
      <c r="D54" s="10" t="s">
        <v>351</v>
      </c>
      <c r="E54" s="10" t="s">
        <v>352</v>
      </c>
      <c r="F54" s="10" t="s">
        <v>353</v>
      </c>
      <c r="G54" s="10"/>
      <c r="H54" s="10" t="s">
        <v>354</v>
      </c>
      <c r="I54" s="10" t="s">
        <v>104</v>
      </c>
      <c r="J54" s="9" t="s">
        <v>19</v>
      </c>
      <c r="K54" s="11"/>
      <c r="L54" s="10"/>
    </row>
    <row r="55" customFormat="false" ht="15" hidden="false" customHeight="false" outlineLevel="0" collapsed="false">
      <c r="A55" s="6" t="s">
        <v>355</v>
      </c>
      <c r="B55" s="6" t="s">
        <v>26</v>
      </c>
      <c r="C55" s="6" t="s">
        <v>87</v>
      </c>
      <c r="D55" s="6" t="s">
        <v>356</v>
      </c>
      <c r="E55" s="6" t="s">
        <v>357</v>
      </c>
      <c r="F55" s="6" t="s">
        <v>358</v>
      </c>
      <c r="G55" s="6"/>
      <c r="H55" s="6" t="s">
        <v>359</v>
      </c>
      <c r="I55" s="6" t="s">
        <v>92</v>
      </c>
      <c r="J55" s="9" t="s">
        <v>19</v>
      </c>
      <c r="K55" s="7"/>
      <c r="L55" s="6"/>
    </row>
    <row r="56" customFormat="false" ht="41.75" hidden="false" customHeight="false" outlineLevel="0" collapsed="false">
      <c r="A56" s="10" t="s">
        <v>360</v>
      </c>
      <c r="B56" s="10" t="s">
        <v>26</v>
      </c>
      <c r="C56" s="10" t="s">
        <v>94</v>
      </c>
      <c r="D56" s="10" t="s">
        <v>361</v>
      </c>
      <c r="E56" s="10" t="s">
        <v>362</v>
      </c>
      <c r="F56" s="10" t="s">
        <v>363</v>
      </c>
      <c r="G56" s="10"/>
      <c r="H56" s="10" t="s">
        <v>364</v>
      </c>
      <c r="I56" s="10" t="s">
        <v>92</v>
      </c>
      <c r="J56" s="9" t="s">
        <v>19</v>
      </c>
      <c r="K56" s="11"/>
      <c r="L56" s="10"/>
    </row>
    <row r="57" customFormat="false" ht="377.6" hidden="false" customHeight="false" outlineLevel="0" collapsed="false">
      <c r="A57" s="6" t="s">
        <v>365</v>
      </c>
      <c r="B57" s="6" t="s">
        <v>26</v>
      </c>
      <c r="C57" s="6" t="s">
        <v>366</v>
      </c>
      <c r="D57" s="6" t="s">
        <v>367</v>
      </c>
      <c r="E57" s="6" t="s">
        <v>230</v>
      </c>
      <c r="F57" s="6" t="s">
        <v>368</v>
      </c>
      <c r="G57" s="6" t="s">
        <v>369</v>
      </c>
      <c r="H57" s="6" t="s">
        <v>370</v>
      </c>
      <c r="I57" s="6" t="s">
        <v>104</v>
      </c>
      <c r="J57" s="9" t="s">
        <v>19</v>
      </c>
      <c r="K57" s="7"/>
      <c r="L57" s="6"/>
    </row>
    <row r="58" customFormat="false" ht="15" hidden="false" customHeight="false" outlineLevel="0" collapsed="false">
      <c r="A58" s="10" t="s">
        <v>371</v>
      </c>
      <c r="B58" s="10" t="s">
        <v>26</v>
      </c>
      <c r="C58" s="10" t="s">
        <v>222</v>
      </c>
      <c r="D58" s="10" t="s">
        <v>372</v>
      </c>
      <c r="E58" s="10" t="s">
        <v>338</v>
      </c>
      <c r="F58" s="10" t="s">
        <v>373</v>
      </c>
      <c r="G58" s="10"/>
      <c r="H58" s="10" t="s">
        <v>340</v>
      </c>
      <c r="I58" s="10" t="s">
        <v>104</v>
      </c>
      <c r="J58" s="9" t="s">
        <v>19</v>
      </c>
      <c r="K58" s="11"/>
      <c r="L58" s="10"/>
    </row>
    <row r="59" customFormat="false" ht="28.35" hidden="false" customHeight="false" outlineLevel="0" collapsed="false">
      <c r="A59" s="6" t="s">
        <v>374</v>
      </c>
      <c r="B59" s="6" t="s">
        <v>26</v>
      </c>
      <c r="C59" s="6" t="s">
        <v>222</v>
      </c>
      <c r="D59" s="6" t="s">
        <v>375</v>
      </c>
      <c r="E59" s="6" t="s">
        <v>376</v>
      </c>
      <c r="F59" s="6" t="s">
        <v>377</v>
      </c>
      <c r="G59" s="6"/>
      <c r="H59" s="6" t="s">
        <v>378</v>
      </c>
      <c r="I59" s="6" t="s">
        <v>104</v>
      </c>
      <c r="J59" s="9" t="s">
        <v>19</v>
      </c>
      <c r="K59" s="7"/>
      <c r="L59" s="6"/>
    </row>
    <row r="60" customFormat="false" ht="122.35" hidden="false" customHeight="false" outlineLevel="0" collapsed="false">
      <c r="A60" s="10" t="s">
        <v>379</v>
      </c>
      <c r="B60" s="10" t="s">
        <v>30</v>
      </c>
      <c r="C60" s="10" t="s">
        <v>380</v>
      </c>
      <c r="D60" s="10" t="s">
        <v>381</v>
      </c>
      <c r="E60" s="10" t="s">
        <v>382</v>
      </c>
      <c r="F60" s="10" t="s">
        <v>383</v>
      </c>
      <c r="G60" s="10" t="s">
        <v>384</v>
      </c>
      <c r="H60" s="10" t="s">
        <v>385</v>
      </c>
      <c r="I60" s="10" t="s">
        <v>104</v>
      </c>
      <c r="J60" s="9" t="s">
        <v>19</v>
      </c>
      <c r="K60" s="11"/>
      <c r="L60" s="10"/>
    </row>
    <row r="61" customFormat="false" ht="471.6" hidden="false" customHeight="false" outlineLevel="0" collapsed="false">
      <c r="A61" s="6" t="s">
        <v>386</v>
      </c>
      <c r="B61" s="6" t="s">
        <v>30</v>
      </c>
      <c r="C61" s="6" t="s">
        <v>380</v>
      </c>
      <c r="D61" s="6" t="s">
        <v>387</v>
      </c>
      <c r="E61" s="6" t="s">
        <v>170</v>
      </c>
      <c r="F61" s="6" t="s">
        <v>388</v>
      </c>
      <c r="G61" s="6" t="s">
        <v>389</v>
      </c>
      <c r="H61" s="6" t="s">
        <v>390</v>
      </c>
      <c r="I61" s="6" t="s">
        <v>104</v>
      </c>
      <c r="J61" s="9" t="s">
        <v>19</v>
      </c>
      <c r="K61" s="7"/>
      <c r="L61" s="6"/>
    </row>
    <row r="62" customFormat="false" ht="243.25" hidden="false" customHeight="false" outlineLevel="0" collapsed="false">
      <c r="A62" s="10" t="s">
        <v>391</v>
      </c>
      <c r="B62" s="10" t="s">
        <v>30</v>
      </c>
      <c r="C62" s="10" t="s">
        <v>380</v>
      </c>
      <c r="D62" s="10" t="s">
        <v>392</v>
      </c>
      <c r="E62" s="10" t="s">
        <v>170</v>
      </c>
      <c r="F62" s="10" t="s">
        <v>393</v>
      </c>
      <c r="G62" s="10" t="s">
        <v>394</v>
      </c>
      <c r="H62" s="10" t="s">
        <v>395</v>
      </c>
      <c r="I62" s="10" t="s">
        <v>104</v>
      </c>
      <c r="J62" s="9" t="s">
        <v>19</v>
      </c>
      <c r="K62" s="11"/>
      <c r="L62" s="10"/>
    </row>
    <row r="63" customFormat="false" ht="28.35" hidden="false" customHeight="false" outlineLevel="0" collapsed="false">
      <c r="A63" s="6" t="s">
        <v>396</v>
      </c>
      <c r="B63" s="6" t="s">
        <v>30</v>
      </c>
      <c r="C63" s="6" t="s">
        <v>222</v>
      </c>
      <c r="D63" s="6" t="s">
        <v>397</v>
      </c>
      <c r="E63" s="6" t="s">
        <v>163</v>
      </c>
      <c r="F63" s="6" t="s">
        <v>398</v>
      </c>
      <c r="G63" s="6"/>
      <c r="H63" s="6" t="s">
        <v>399</v>
      </c>
      <c r="I63" s="6" t="s">
        <v>104</v>
      </c>
      <c r="J63" s="9" t="s">
        <v>19</v>
      </c>
      <c r="K63" s="7"/>
      <c r="L63" s="6"/>
    </row>
    <row r="64" customFormat="false" ht="55.2" hidden="false" customHeight="false" outlineLevel="0" collapsed="false">
      <c r="A64" s="10" t="s">
        <v>400</v>
      </c>
      <c r="B64" s="10" t="s">
        <v>30</v>
      </c>
      <c r="C64" s="10" t="s">
        <v>401</v>
      </c>
      <c r="D64" s="10" t="s">
        <v>402</v>
      </c>
      <c r="E64" s="10" t="s">
        <v>403</v>
      </c>
      <c r="F64" s="10" t="s">
        <v>404</v>
      </c>
      <c r="G64" s="10"/>
      <c r="H64" s="10" t="s">
        <v>405</v>
      </c>
      <c r="I64" s="10" t="s">
        <v>92</v>
      </c>
      <c r="J64" s="9" t="s">
        <v>19</v>
      </c>
      <c r="K64" s="11"/>
      <c r="L64" s="10"/>
    </row>
    <row r="65" customFormat="false" ht="68.65" hidden="false" customHeight="false" outlineLevel="0" collapsed="false">
      <c r="A65" s="6" t="s">
        <v>406</v>
      </c>
      <c r="B65" s="6" t="s">
        <v>33</v>
      </c>
      <c r="C65" s="6" t="s">
        <v>407</v>
      </c>
      <c r="D65" s="6" t="s">
        <v>408</v>
      </c>
      <c r="E65" s="6" t="s">
        <v>409</v>
      </c>
      <c r="F65" s="6" t="s">
        <v>410</v>
      </c>
      <c r="G65" s="6"/>
      <c r="H65" s="6" t="s">
        <v>411</v>
      </c>
      <c r="I65" s="6" t="s">
        <v>92</v>
      </c>
      <c r="J65" s="9" t="s">
        <v>19</v>
      </c>
      <c r="K65" s="7"/>
      <c r="L65" s="6"/>
    </row>
    <row r="66" customFormat="false" ht="28.35" hidden="false" customHeight="false" outlineLevel="0" collapsed="false">
      <c r="A66" s="10" t="s">
        <v>412</v>
      </c>
      <c r="B66" s="10" t="s">
        <v>33</v>
      </c>
      <c r="C66" s="10" t="s">
        <v>407</v>
      </c>
      <c r="D66" s="10" t="s">
        <v>413</v>
      </c>
      <c r="E66" s="10" t="s">
        <v>414</v>
      </c>
      <c r="F66" s="10" t="s">
        <v>415</v>
      </c>
      <c r="G66" s="10"/>
      <c r="H66" s="10" t="s">
        <v>416</v>
      </c>
      <c r="I66" s="10" t="s">
        <v>92</v>
      </c>
      <c r="J66" s="9" t="s">
        <v>19</v>
      </c>
      <c r="K66" s="11"/>
      <c r="L66" s="10"/>
    </row>
    <row r="67" customFormat="false" ht="28.35" hidden="false" customHeight="false" outlineLevel="0" collapsed="false">
      <c r="A67" s="6" t="s">
        <v>417</v>
      </c>
      <c r="B67" s="6" t="s">
        <v>33</v>
      </c>
      <c r="C67" s="6" t="s">
        <v>407</v>
      </c>
      <c r="D67" s="6" t="s">
        <v>418</v>
      </c>
      <c r="E67" s="6" t="s">
        <v>419</v>
      </c>
      <c r="F67" s="6" t="s">
        <v>420</v>
      </c>
      <c r="G67" s="6"/>
      <c r="H67" s="6" t="s">
        <v>421</v>
      </c>
      <c r="I67" s="6" t="s">
        <v>92</v>
      </c>
      <c r="J67" s="9" t="s">
        <v>19</v>
      </c>
      <c r="K67" s="7"/>
      <c r="L67" s="6"/>
    </row>
    <row r="68" customFormat="false" ht="41.75" hidden="false" customHeight="false" outlineLevel="0" collapsed="false">
      <c r="A68" s="10" t="s">
        <v>422</v>
      </c>
      <c r="B68" s="10" t="s">
        <v>33</v>
      </c>
      <c r="C68" s="10" t="s">
        <v>407</v>
      </c>
      <c r="D68" s="10" t="s">
        <v>423</v>
      </c>
      <c r="E68" s="10" t="s">
        <v>424</v>
      </c>
      <c r="F68" s="10" t="s">
        <v>425</v>
      </c>
      <c r="G68" s="10"/>
      <c r="H68" s="10" t="s">
        <v>426</v>
      </c>
      <c r="I68" s="10" t="s">
        <v>92</v>
      </c>
      <c r="J68" s="9" t="s">
        <v>19</v>
      </c>
      <c r="K68" s="11"/>
      <c r="L68" s="10"/>
    </row>
    <row r="69" customFormat="false" ht="15" hidden="false" customHeight="false" outlineLevel="0" collapsed="false">
      <c r="A69" s="6" t="s">
        <v>427</v>
      </c>
      <c r="B69" s="6" t="s">
        <v>36</v>
      </c>
      <c r="C69" s="6" t="s">
        <v>38</v>
      </c>
      <c r="D69" s="6" t="s">
        <v>428</v>
      </c>
      <c r="E69" s="6" t="s">
        <v>429</v>
      </c>
      <c r="F69" s="6" t="s">
        <v>430</v>
      </c>
      <c r="G69" s="6"/>
      <c r="H69" s="6"/>
      <c r="I69" s="6" t="s">
        <v>92</v>
      </c>
      <c r="J69" s="9" t="s">
        <v>19</v>
      </c>
      <c r="K69" s="7"/>
      <c r="L69" s="6"/>
    </row>
    <row r="70" customFormat="false" ht="15" hidden="false" customHeight="false" outlineLevel="0" collapsed="false">
      <c r="A70" s="10" t="s">
        <v>431</v>
      </c>
      <c r="B70" s="10" t="s">
        <v>36</v>
      </c>
      <c r="C70" s="10" t="s">
        <v>38</v>
      </c>
      <c r="D70" s="10" t="s">
        <v>432</v>
      </c>
      <c r="E70" s="10" t="s">
        <v>433</v>
      </c>
      <c r="F70" s="10" t="s">
        <v>434</v>
      </c>
      <c r="G70" s="10"/>
      <c r="H70" s="10"/>
      <c r="I70" s="10" t="s">
        <v>92</v>
      </c>
      <c r="J70" s="9" t="s">
        <v>19</v>
      </c>
      <c r="K70" s="11"/>
      <c r="L70" s="10"/>
    </row>
    <row r="71" customFormat="false" ht="28.35" hidden="false" customHeight="false" outlineLevel="0" collapsed="false">
      <c r="A71" s="6" t="s">
        <v>435</v>
      </c>
      <c r="B71" s="6" t="s">
        <v>36</v>
      </c>
      <c r="C71" s="6" t="s">
        <v>38</v>
      </c>
      <c r="D71" s="6" t="s">
        <v>436</v>
      </c>
      <c r="E71" s="6" t="s">
        <v>437</v>
      </c>
      <c r="F71" s="6" t="s">
        <v>438</v>
      </c>
      <c r="G71" s="6"/>
      <c r="H71" s="6"/>
      <c r="I71" s="6" t="s">
        <v>92</v>
      </c>
      <c r="J71" s="9" t="s">
        <v>19</v>
      </c>
      <c r="K71" s="7"/>
      <c r="L71" s="6"/>
    </row>
    <row r="72" customFormat="false" ht="15" hidden="false" customHeight="false" outlineLevel="0" collapsed="false">
      <c r="A72" s="10" t="s">
        <v>439</v>
      </c>
      <c r="B72" s="10" t="s">
        <v>36</v>
      </c>
      <c r="C72" s="10" t="s">
        <v>38</v>
      </c>
      <c r="D72" s="10" t="s">
        <v>440</v>
      </c>
      <c r="E72" s="10" t="s">
        <v>441</v>
      </c>
      <c r="F72" s="10" t="s">
        <v>442</v>
      </c>
      <c r="G72" s="10"/>
      <c r="H72" s="10"/>
      <c r="I72" s="10" t="s">
        <v>92</v>
      </c>
      <c r="J72" s="9" t="s">
        <v>19</v>
      </c>
      <c r="K72" s="11"/>
      <c r="L72" s="10"/>
    </row>
    <row r="73" customFormat="false" ht="15" hidden="false" customHeight="false" outlineLevel="0" collapsed="false">
      <c r="A73" s="6" t="s">
        <v>443</v>
      </c>
      <c r="B73" s="6" t="s">
        <v>36</v>
      </c>
      <c r="C73" s="6" t="s">
        <v>38</v>
      </c>
      <c r="D73" s="6" t="s">
        <v>444</v>
      </c>
      <c r="E73" s="6" t="s">
        <v>445</v>
      </c>
      <c r="F73" s="6" t="s">
        <v>446</v>
      </c>
      <c r="G73" s="6"/>
      <c r="H73" s="6"/>
      <c r="I73" s="6" t="s">
        <v>92</v>
      </c>
      <c r="J73" s="9" t="s">
        <v>19</v>
      </c>
      <c r="K73" s="7"/>
      <c r="L73" s="6"/>
    </row>
  </sheetData>
  <dataValidations count="1">
    <dataValidation allowBlank="true" error="Pick a value from the list." errorStyle="stop" errorTitle="Not allowed" operator="between" showDropDown="false" showErrorMessage="false" showInputMessage="false" sqref="J5:J304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5" t="s">
        <v>449</v>
      </c>
      <c r="B4" s="5" t="s">
        <v>450</v>
      </c>
      <c r="C4" s="5" t="s">
        <v>451</v>
      </c>
    </row>
    <row r="5" customFormat="false" ht="15" hidden="false" customHeight="false" outlineLevel="0" collapsed="false">
      <c r="A5" s="6" t="s">
        <v>452</v>
      </c>
      <c r="B5" s="6" t="s">
        <v>453</v>
      </c>
      <c r="C5" s="6" t="s">
        <v>454</v>
      </c>
    </row>
    <row r="6" customFormat="false" ht="15" hidden="false" customHeight="false" outlineLevel="0" collapsed="false">
      <c r="A6" s="10" t="s">
        <v>452</v>
      </c>
      <c r="B6" s="10" t="s">
        <v>455</v>
      </c>
      <c r="C6" s="10" t="s">
        <v>456</v>
      </c>
    </row>
    <row r="7" customFormat="false" ht="15" hidden="false" customHeight="false" outlineLevel="0" collapsed="false">
      <c r="A7" s="6" t="s">
        <v>452</v>
      </c>
      <c r="B7" s="6" t="s">
        <v>457</v>
      </c>
      <c r="C7" s="6" t="s">
        <v>458</v>
      </c>
    </row>
    <row r="8" customFormat="false" ht="28.35" hidden="false" customHeight="false" outlineLevel="0" collapsed="false">
      <c r="A8" s="10" t="s">
        <v>452</v>
      </c>
      <c r="B8" s="10" t="s">
        <v>459</v>
      </c>
      <c r="C8" s="10" t="s">
        <v>460</v>
      </c>
    </row>
    <row r="9" customFormat="false" ht="15" hidden="false" customHeight="false" outlineLevel="0" collapsed="false">
      <c r="A9" s="6" t="s">
        <v>452</v>
      </c>
      <c r="B9" s="6" t="s">
        <v>461</v>
      </c>
      <c r="C9" s="6" t="s">
        <v>462</v>
      </c>
    </row>
    <row r="10" customFormat="false" ht="15" hidden="false" customHeight="false" outlineLevel="0" collapsed="false">
      <c r="A10" s="10" t="s">
        <v>452</v>
      </c>
      <c r="B10" s="10" t="s">
        <v>463</v>
      </c>
      <c r="C10" s="10" t="s">
        <v>464</v>
      </c>
    </row>
    <row r="11" customFormat="false" ht="28.35" hidden="false" customHeight="false" outlineLevel="0" collapsed="false">
      <c r="A11" s="6" t="s">
        <v>465</v>
      </c>
      <c r="B11" s="6" t="s">
        <v>466</v>
      </c>
      <c r="C11" s="6" t="s">
        <v>467</v>
      </c>
    </row>
    <row r="12" customFormat="false" ht="28.35" hidden="false" customHeight="false" outlineLevel="0" collapsed="false">
      <c r="A12" s="10" t="s">
        <v>465</v>
      </c>
      <c r="B12" s="10" t="s">
        <v>468</v>
      </c>
      <c r="C12" s="10" t="s">
        <v>469</v>
      </c>
    </row>
    <row r="13" customFormat="false" ht="28.35" hidden="false" customHeight="false" outlineLevel="0" collapsed="false">
      <c r="A13" s="6" t="s">
        <v>465</v>
      </c>
      <c r="B13" s="6" t="s">
        <v>470</v>
      </c>
      <c r="C13" s="6" t="s">
        <v>471</v>
      </c>
    </row>
    <row r="14" customFormat="false" ht="28.35" hidden="false" customHeight="false" outlineLevel="0" collapsed="false">
      <c r="A14" s="10" t="s">
        <v>465</v>
      </c>
      <c r="B14" s="10" t="s">
        <v>472</v>
      </c>
      <c r="C14" s="10" t="s">
        <v>473</v>
      </c>
    </row>
    <row r="15" customFormat="false" ht="28.35" hidden="false" customHeight="false" outlineLevel="0" collapsed="false">
      <c r="A15" s="6" t="s">
        <v>465</v>
      </c>
      <c r="B15" s="6" t="s">
        <v>474</v>
      </c>
      <c r="C15" s="6" t="s">
        <v>475</v>
      </c>
    </row>
    <row r="16" customFormat="false" ht="15" hidden="false" customHeight="false" outlineLevel="0" collapsed="false">
      <c r="A16" s="10" t="s">
        <v>476</v>
      </c>
      <c r="B16" s="10" t="s">
        <v>477</v>
      </c>
      <c r="C16" s="10" t="s">
        <v>478</v>
      </c>
    </row>
    <row r="17" customFormat="false" ht="15" hidden="false" customHeight="false" outlineLevel="0" collapsed="false">
      <c r="A17" s="6" t="s">
        <v>476</v>
      </c>
      <c r="B17" s="6" t="s">
        <v>479</v>
      </c>
      <c r="C17" s="6" t="s">
        <v>480</v>
      </c>
    </row>
    <row r="18" customFormat="false" ht="15" hidden="false" customHeight="false" outlineLevel="0" collapsed="false">
      <c r="A18" s="10" t="s">
        <v>476</v>
      </c>
      <c r="B18" s="10" t="s">
        <v>481</v>
      </c>
      <c r="C18" s="10" t="s">
        <v>482</v>
      </c>
    </row>
    <row r="19" customFormat="false" ht="28.35" hidden="false" customHeight="false" outlineLevel="0" collapsed="false">
      <c r="A19" s="6" t="s">
        <v>476</v>
      </c>
      <c r="B19" s="6" t="s">
        <v>483</v>
      </c>
      <c r="C19" s="6" t="s">
        <v>484</v>
      </c>
    </row>
    <row r="20" customFormat="false" ht="28.35" hidden="false" customHeight="false" outlineLevel="0" collapsed="false">
      <c r="A20" s="10" t="s">
        <v>476</v>
      </c>
      <c r="B20" s="10" t="s">
        <v>485</v>
      </c>
      <c r="C20" s="10" t="s">
        <v>486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15" hidden="false" customHeight="false" outlineLevel="0" collapsed="false">
      <c r="A4" s="5" t="s">
        <v>4</v>
      </c>
      <c r="B4" s="5" t="s">
        <v>13</v>
      </c>
      <c r="C4" s="5" t="s">
        <v>489</v>
      </c>
      <c r="D4" s="5" t="s">
        <v>83</v>
      </c>
      <c r="E4" s="5" t="s">
        <v>490</v>
      </c>
      <c r="F4" s="5" t="s">
        <v>491</v>
      </c>
    </row>
    <row r="5" customFormat="false" ht="15" hidden="false" customHeight="false" outlineLevel="0" collapsed="false">
      <c r="A5" s="6" t="s">
        <v>15</v>
      </c>
      <c r="B5" s="6" t="s">
        <v>18</v>
      </c>
      <c r="C5" s="6" t="s">
        <v>492</v>
      </c>
      <c r="D5" s="9" t="s">
        <v>19</v>
      </c>
      <c r="E5" s="7"/>
      <c r="F5" s="6"/>
    </row>
    <row r="6" customFormat="false" ht="15" hidden="false" customHeight="false" outlineLevel="0" collapsed="false">
      <c r="A6" s="10" t="s">
        <v>15</v>
      </c>
      <c r="B6" s="10" t="s">
        <v>18</v>
      </c>
      <c r="C6" s="10" t="s">
        <v>493</v>
      </c>
      <c r="D6" s="9" t="s">
        <v>19</v>
      </c>
      <c r="E6" s="11"/>
      <c r="F6" s="10"/>
    </row>
    <row r="7" customFormat="false" ht="15" hidden="false" customHeight="false" outlineLevel="0" collapsed="false">
      <c r="A7" s="6" t="s">
        <v>15</v>
      </c>
      <c r="B7" s="6" t="s">
        <v>18</v>
      </c>
      <c r="C7" s="6" t="s">
        <v>494</v>
      </c>
      <c r="D7" s="9" t="s">
        <v>19</v>
      </c>
      <c r="E7" s="7"/>
      <c r="F7" s="6"/>
    </row>
    <row r="8" customFormat="false" ht="15" hidden="false" customHeight="false" outlineLevel="0" collapsed="false">
      <c r="A8" s="10" t="s">
        <v>15</v>
      </c>
      <c r="B8" s="10" t="s">
        <v>18</v>
      </c>
      <c r="C8" s="10" t="s">
        <v>495</v>
      </c>
      <c r="D8" s="9" t="s">
        <v>19</v>
      </c>
      <c r="E8" s="11"/>
      <c r="F8" s="10"/>
    </row>
    <row r="9" customFormat="false" ht="15" hidden="false" customHeight="false" outlineLevel="0" collapsed="false">
      <c r="A9" s="6" t="s">
        <v>15</v>
      </c>
      <c r="B9" s="6" t="s">
        <v>18</v>
      </c>
      <c r="C9" s="6" t="s">
        <v>496</v>
      </c>
      <c r="D9" s="9" t="s">
        <v>19</v>
      </c>
      <c r="E9" s="7"/>
      <c r="F9" s="6"/>
    </row>
    <row r="10" customFormat="false" ht="15" hidden="false" customHeight="false" outlineLevel="0" collapsed="false">
      <c r="A10" s="10" t="s">
        <v>20</v>
      </c>
      <c r="B10" s="10" t="s">
        <v>22</v>
      </c>
      <c r="C10" s="10" t="s">
        <v>497</v>
      </c>
      <c r="D10" s="9" t="s">
        <v>19</v>
      </c>
      <c r="E10" s="11"/>
      <c r="F10" s="10"/>
    </row>
    <row r="11" customFormat="false" ht="15" hidden="false" customHeight="false" outlineLevel="0" collapsed="false">
      <c r="A11" s="6" t="s">
        <v>20</v>
      </c>
      <c r="B11" s="6" t="s">
        <v>22</v>
      </c>
      <c r="C11" s="6" t="s">
        <v>498</v>
      </c>
      <c r="D11" s="9" t="s">
        <v>19</v>
      </c>
      <c r="E11" s="7"/>
      <c r="F11" s="6"/>
    </row>
    <row r="12" customFormat="false" ht="15" hidden="false" customHeight="false" outlineLevel="0" collapsed="false">
      <c r="A12" s="10" t="s">
        <v>20</v>
      </c>
      <c r="B12" s="10" t="s">
        <v>22</v>
      </c>
      <c r="C12" s="10" t="s">
        <v>499</v>
      </c>
      <c r="D12" s="9" t="s">
        <v>19</v>
      </c>
      <c r="E12" s="11"/>
      <c r="F12" s="10"/>
    </row>
    <row r="13" customFormat="false" ht="15" hidden="false" customHeight="false" outlineLevel="0" collapsed="false">
      <c r="A13" s="6" t="s">
        <v>20</v>
      </c>
      <c r="B13" s="6" t="s">
        <v>22</v>
      </c>
      <c r="C13" s="6" t="s">
        <v>500</v>
      </c>
      <c r="D13" s="9" t="s">
        <v>19</v>
      </c>
      <c r="E13" s="7"/>
      <c r="F13" s="6"/>
    </row>
    <row r="14" customFormat="false" ht="15" hidden="false" customHeight="false" outlineLevel="0" collapsed="false">
      <c r="A14" s="10" t="s">
        <v>23</v>
      </c>
      <c r="B14" s="10" t="s">
        <v>25</v>
      </c>
      <c r="C14" s="10" t="s">
        <v>501</v>
      </c>
      <c r="D14" s="9" t="s">
        <v>19</v>
      </c>
      <c r="E14" s="11"/>
      <c r="F14" s="10"/>
    </row>
    <row r="15" customFormat="false" ht="15" hidden="false" customHeight="false" outlineLevel="0" collapsed="false">
      <c r="A15" s="6" t="s">
        <v>23</v>
      </c>
      <c r="B15" s="6" t="s">
        <v>25</v>
      </c>
      <c r="C15" s="6" t="s">
        <v>502</v>
      </c>
      <c r="D15" s="9" t="s">
        <v>19</v>
      </c>
      <c r="E15" s="7"/>
      <c r="F15" s="6"/>
    </row>
    <row r="16" customFormat="false" ht="15" hidden="false" customHeight="false" outlineLevel="0" collapsed="false">
      <c r="A16" s="10" t="s">
        <v>23</v>
      </c>
      <c r="B16" s="10" t="s">
        <v>25</v>
      </c>
      <c r="C16" s="10" t="s">
        <v>503</v>
      </c>
      <c r="D16" s="9" t="s">
        <v>19</v>
      </c>
      <c r="E16" s="11"/>
      <c r="F16" s="10"/>
    </row>
    <row r="17" customFormat="false" ht="15" hidden="false" customHeight="false" outlineLevel="0" collapsed="false">
      <c r="A17" s="6" t="s">
        <v>23</v>
      </c>
      <c r="B17" s="6" t="s">
        <v>25</v>
      </c>
      <c r="C17" s="6" t="s">
        <v>504</v>
      </c>
      <c r="D17" s="9" t="s">
        <v>19</v>
      </c>
      <c r="E17" s="7"/>
      <c r="F17" s="6"/>
    </row>
    <row r="18" customFormat="false" ht="15" hidden="false" customHeight="false" outlineLevel="0" collapsed="false">
      <c r="A18" s="10" t="s">
        <v>26</v>
      </c>
      <c r="B18" s="10" t="s">
        <v>29</v>
      </c>
      <c r="C18" s="10" t="s">
        <v>505</v>
      </c>
      <c r="D18" s="9" t="s">
        <v>19</v>
      </c>
      <c r="E18" s="11"/>
      <c r="F18" s="10"/>
    </row>
    <row r="19" customFormat="false" ht="15" hidden="false" customHeight="false" outlineLevel="0" collapsed="false">
      <c r="A19" s="6" t="s">
        <v>26</v>
      </c>
      <c r="B19" s="6" t="s">
        <v>29</v>
      </c>
      <c r="C19" s="6" t="s">
        <v>506</v>
      </c>
      <c r="D19" s="9" t="s">
        <v>19</v>
      </c>
      <c r="E19" s="7"/>
      <c r="F19" s="6"/>
    </row>
    <row r="20" customFormat="false" ht="15" hidden="false" customHeight="false" outlineLevel="0" collapsed="false">
      <c r="A20" s="10" t="s">
        <v>26</v>
      </c>
      <c r="B20" s="10" t="s">
        <v>29</v>
      </c>
      <c r="C20" s="10" t="s">
        <v>507</v>
      </c>
      <c r="D20" s="9" t="s">
        <v>19</v>
      </c>
      <c r="E20" s="11"/>
      <c r="F20" s="10"/>
    </row>
    <row r="21" customFormat="false" ht="15" hidden="false" customHeight="false" outlineLevel="0" collapsed="false">
      <c r="A21" s="6" t="s">
        <v>30</v>
      </c>
      <c r="B21" s="6" t="s">
        <v>32</v>
      </c>
      <c r="C21" s="6" t="s">
        <v>508</v>
      </c>
      <c r="D21" s="9" t="s">
        <v>19</v>
      </c>
      <c r="E21" s="7"/>
      <c r="F21" s="6"/>
    </row>
    <row r="22" customFormat="false" ht="15" hidden="false" customHeight="false" outlineLevel="0" collapsed="false">
      <c r="A22" s="10" t="s">
        <v>30</v>
      </c>
      <c r="B22" s="10" t="s">
        <v>32</v>
      </c>
      <c r="C22" s="10" t="s">
        <v>509</v>
      </c>
      <c r="D22" s="9" t="s">
        <v>19</v>
      </c>
      <c r="E22" s="11"/>
      <c r="F22" s="10"/>
    </row>
    <row r="23" customFormat="false" ht="15" hidden="false" customHeight="false" outlineLevel="0" collapsed="false">
      <c r="A23" s="6" t="s">
        <v>30</v>
      </c>
      <c r="B23" s="6" t="s">
        <v>32</v>
      </c>
      <c r="C23" s="6" t="s">
        <v>510</v>
      </c>
      <c r="D23" s="9" t="s">
        <v>19</v>
      </c>
      <c r="E23" s="7"/>
      <c r="F23" s="6"/>
    </row>
    <row r="24" customFormat="false" ht="15" hidden="false" customHeight="false" outlineLevel="0" collapsed="false">
      <c r="A24" s="10" t="s">
        <v>30</v>
      </c>
      <c r="B24" s="10" t="s">
        <v>32</v>
      </c>
      <c r="C24" s="10" t="s">
        <v>511</v>
      </c>
      <c r="D24" s="9" t="s">
        <v>19</v>
      </c>
      <c r="E24" s="11"/>
      <c r="F24" s="10"/>
    </row>
    <row r="25" customFormat="false" ht="15" hidden="false" customHeight="false" outlineLevel="0" collapsed="false">
      <c r="A25" s="6" t="s">
        <v>33</v>
      </c>
      <c r="B25" s="6" t="s">
        <v>35</v>
      </c>
      <c r="C25" s="6" t="s">
        <v>512</v>
      </c>
      <c r="D25" s="9" t="s">
        <v>19</v>
      </c>
      <c r="E25" s="7"/>
      <c r="F25" s="6"/>
    </row>
    <row r="26" customFormat="false" ht="15" hidden="false" customHeight="false" outlineLevel="0" collapsed="false">
      <c r="A26" s="10" t="s">
        <v>33</v>
      </c>
      <c r="B26" s="10" t="s">
        <v>35</v>
      </c>
      <c r="C26" s="10" t="s">
        <v>513</v>
      </c>
      <c r="D26" s="9" t="s">
        <v>19</v>
      </c>
      <c r="E26" s="11"/>
      <c r="F26" s="10"/>
    </row>
    <row r="27" customFormat="false" ht="15" hidden="false" customHeight="false" outlineLevel="0" collapsed="false">
      <c r="A27" s="6" t="s">
        <v>33</v>
      </c>
      <c r="B27" s="6" t="s">
        <v>35</v>
      </c>
      <c r="C27" s="6" t="s">
        <v>514</v>
      </c>
      <c r="D27" s="9" t="s">
        <v>19</v>
      </c>
      <c r="E27" s="7"/>
      <c r="F27" s="6"/>
    </row>
    <row r="28" customFormat="false" ht="15" hidden="false" customHeight="false" outlineLevel="0" collapsed="false">
      <c r="A28" s="10" t="s">
        <v>36</v>
      </c>
      <c r="B28" s="10" t="s">
        <v>39</v>
      </c>
      <c r="C28" s="10" t="s">
        <v>515</v>
      </c>
      <c r="D28" s="9" t="s">
        <v>19</v>
      </c>
      <c r="E28" s="11"/>
      <c r="F28" s="10"/>
    </row>
  </sheetData>
  <dataValidations count="1">
    <dataValidation allowBlank="true" error="Pick a value from the list." errorStyle="stop" errorTitle="Not allowed" operator="between" showDropDown="false" showErrorMessage="false" showInputMessage="false" sqref="D5:D304" type="list">
      <formula1>"Not started,Passed,Failed,Waived"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8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516</v>
      </c>
    </row>
    <row r="2" customFormat="false" ht="15" hidden="false" customHeight="false" outlineLevel="0" collapsed="false">
      <c r="A2" s="2" t="s">
        <v>517</v>
      </c>
    </row>
    <row r="4" customFormat="false" ht="15" hidden="false" customHeight="false" outlineLevel="0" collapsed="false">
      <c r="A4" s="5" t="s">
        <v>75</v>
      </c>
      <c r="B4" s="5" t="s">
        <v>4</v>
      </c>
      <c r="C4" s="5" t="s">
        <v>518</v>
      </c>
      <c r="D4" s="5" t="s">
        <v>519</v>
      </c>
      <c r="E4" s="5" t="s">
        <v>520</v>
      </c>
      <c r="F4" s="5" t="s">
        <v>521</v>
      </c>
      <c r="G4" s="5" t="s">
        <v>522</v>
      </c>
      <c r="H4" s="5" t="s">
        <v>490</v>
      </c>
      <c r="I4" s="5" t="s">
        <v>85</v>
      </c>
    </row>
    <row r="5" customFormat="false" ht="28.35" hidden="false" customHeight="false" outlineLevel="0" collapsed="false">
      <c r="A5" s="6" t="s">
        <v>523</v>
      </c>
      <c r="B5" s="6" t="s">
        <v>20</v>
      </c>
      <c r="C5" s="6" t="s">
        <v>524</v>
      </c>
      <c r="D5" s="6" t="s">
        <v>525</v>
      </c>
      <c r="E5" s="6" t="s">
        <v>526</v>
      </c>
      <c r="F5" s="9" t="s">
        <v>527</v>
      </c>
      <c r="G5" s="6"/>
      <c r="H5" s="7"/>
      <c r="I5" s="6"/>
    </row>
    <row r="6" customFormat="false" ht="28.35" hidden="false" customHeight="false" outlineLevel="0" collapsed="false">
      <c r="A6" s="10" t="s">
        <v>528</v>
      </c>
      <c r="B6" s="10" t="s">
        <v>20</v>
      </c>
      <c r="C6" s="10" t="s">
        <v>529</v>
      </c>
      <c r="D6" s="10" t="s">
        <v>530</v>
      </c>
      <c r="E6" s="10" t="s">
        <v>531</v>
      </c>
      <c r="F6" s="9" t="s">
        <v>527</v>
      </c>
      <c r="G6" s="10"/>
      <c r="H6" s="11"/>
      <c r="I6" s="10"/>
    </row>
    <row r="7" customFormat="false" ht="28.35" hidden="false" customHeight="false" outlineLevel="0" collapsed="false">
      <c r="A7" s="6" t="s">
        <v>532</v>
      </c>
      <c r="B7" s="6" t="s">
        <v>20</v>
      </c>
      <c r="C7" s="6" t="s">
        <v>533</v>
      </c>
      <c r="D7" s="6" t="s">
        <v>534</v>
      </c>
      <c r="E7" s="6" t="s">
        <v>535</v>
      </c>
      <c r="F7" s="9" t="s">
        <v>527</v>
      </c>
      <c r="G7" s="6"/>
      <c r="H7" s="7"/>
      <c r="I7" s="6"/>
    </row>
    <row r="8" customFormat="false" ht="15" hidden="false" customHeight="false" outlineLevel="0" collapsed="false">
      <c r="A8" s="10" t="s">
        <v>536</v>
      </c>
      <c r="B8" s="10" t="s">
        <v>20</v>
      </c>
      <c r="C8" s="10" t="s">
        <v>537</v>
      </c>
      <c r="D8" s="10" t="s">
        <v>538</v>
      </c>
      <c r="E8" s="10" t="s">
        <v>539</v>
      </c>
      <c r="F8" s="9" t="s">
        <v>527</v>
      </c>
      <c r="G8" s="10"/>
      <c r="H8" s="11"/>
      <c r="I8" s="10"/>
    </row>
    <row r="9" customFormat="false" ht="28.35" hidden="false" customHeight="false" outlineLevel="0" collapsed="false">
      <c r="A9" s="6" t="s">
        <v>540</v>
      </c>
      <c r="B9" s="6" t="s">
        <v>20</v>
      </c>
      <c r="C9" s="6" t="s">
        <v>541</v>
      </c>
      <c r="D9" s="6" t="s">
        <v>542</v>
      </c>
      <c r="E9" s="6" t="s">
        <v>543</v>
      </c>
      <c r="F9" s="9" t="s">
        <v>527</v>
      </c>
      <c r="G9" s="6"/>
      <c r="H9" s="7"/>
      <c r="I9" s="6"/>
    </row>
    <row r="10" customFormat="false" ht="15" hidden="false" customHeight="false" outlineLevel="0" collapsed="false">
      <c r="A10" s="10" t="s">
        <v>544</v>
      </c>
      <c r="B10" s="10" t="s">
        <v>20</v>
      </c>
      <c r="C10" s="10" t="s">
        <v>545</v>
      </c>
      <c r="D10" s="10" t="s">
        <v>546</v>
      </c>
      <c r="E10" s="10" t="s">
        <v>547</v>
      </c>
      <c r="F10" s="9" t="s">
        <v>527</v>
      </c>
      <c r="G10" s="10"/>
      <c r="H10" s="11"/>
      <c r="I10" s="10"/>
    </row>
    <row r="11" customFormat="false" ht="28.35" hidden="false" customHeight="false" outlineLevel="0" collapsed="false">
      <c r="A11" s="6" t="s">
        <v>548</v>
      </c>
      <c r="B11" s="6" t="s">
        <v>23</v>
      </c>
      <c r="C11" s="6" t="s">
        <v>549</v>
      </c>
      <c r="D11" s="6" t="s">
        <v>550</v>
      </c>
      <c r="E11" s="6" t="s">
        <v>551</v>
      </c>
      <c r="F11" s="9" t="s">
        <v>527</v>
      </c>
      <c r="G11" s="6"/>
      <c r="H11" s="7"/>
      <c r="I11" s="6"/>
    </row>
    <row r="12" customFormat="false" ht="28.35" hidden="false" customHeight="false" outlineLevel="0" collapsed="false">
      <c r="A12" s="10" t="s">
        <v>552</v>
      </c>
      <c r="B12" s="10" t="s">
        <v>23</v>
      </c>
      <c r="C12" s="10" t="s">
        <v>553</v>
      </c>
      <c r="D12" s="10" t="s">
        <v>554</v>
      </c>
      <c r="E12" s="10" t="s">
        <v>555</v>
      </c>
      <c r="F12" s="9" t="s">
        <v>527</v>
      </c>
      <c r="G12" s="10"/>
      <c r="H12" s="11"/>
      <c r="I12" s="10"/>
    </row>
    <row r="13" customFormat="false" ht="28.35" hidden="false" customHeight="false" outlineLevel="0" collapsed="false">
      <c r="A13" s="6" t="s">
        <v>556</v>
      </c>
      <c r="B13" s="6" t="s">
        <v>23</v>
      </c>
      <c r="C13" s="6" t="s">
        <v>557</v>
      </c>
      <c r="D13" s="6" t="s">
        <v>558</v>
      </c>
      <c r="E13" s="6" t="s">
        <v>559</v>
      </c>
      <c r="F13" s="9" t="s">
        <v>527</v>
      </c>
      <c r="G13" s="6"/>
      <c r="H13" s="7"/>
      <c r="I13" s="6"/>
    </row>
    <row r="14" customFormat="false" ht="28.35" hidden="false" customHeight="false" outlineLevel="0" collapsed="false">
      <c r="A14" s="10" t="s">
        <v>560</v>
      </c>
      <c r="B14" s="10" t="s">
        <v>23</v>
      </c>
      <c r="C14" s="10" t="s">
        <v>561</v>
      </c>
      <c r="D14" s="10" t="s">
        <v>562</v>
      </c>
      <c r="E14" s="10" t="s">
        <v>563</v>
      </c>
      <c r="F14" s="9" t="s">
        <v>527</v>
      </c>
      <c r="G14" s="10"/>
      <c r="H14" s="11"/>
      <c r="I14" s="10"/>
    </row>
    <row r="15" customFormat="false" ht="28.35" hidden="false" customHeight="false" outlineLevel="0" collapsed="false">
      <c r="A15" s="6" t="s">
        <v>564</v>
      </c>
      <c r="B15" s="6" t="s">
        <v>23</v>
      </c>
      <c r="C15" s="6" t="s">
        <v>565</v>
      </c>
      <c r="D15" s="6" t="s">
        <v>566</v>
      </c>
      <c r="E15" s="6" t="s">
        <v>567</v>
      </c>
      <c r="F15" s="9" t="s">
        <v>527</v>
      </c>
      <c r="G15" s="6"/>
      <c r="H15" s="7"/>
      <c r="I15" s="6"/>
    </row>
    <row r="16" customFormat="false" ht="15" hidden="false" customHeight="false" outlineLevel="0" collapsed="false">
      <c r="A16" s="10" t="s">
        <v>568</v>
      </c>
      <c r="B16" s="10" t="s">
        <v>23</v>
      </c>
      <c r="C16" s="10" t="s">
        <v>569</v>
      </c>
      <c r="D16" s="10" t="s">
        <v>570</v>
      </c>
      <c r="E16" s="10" t="s">
        <v>571</v>
      </c>
      <c r="F16" s="9" t="s">
        <v>527</v>
      </c>
      <c r="G16" s="10"/>
      <c r="H16" s="11"/>
      <c r="I16" s="10"/>
    </row>
    <row r="17" customFormat="false" ht="15" hidden="false" customHeight="false" outlineLevel="0" collapsed="false">
      <c r="A17" s="6" t="s">
        <v>572</v>
      </c>
      <c r="B17" s="6" t="s">
        <v>23</v>
      </c>
      <c r="C17" s="6" t="s">
        <v>573</v>
      </c>
      <c r="D17" s="6" t="s">
        <v>574</v>
      </c>
      <c r="E17" s="6" t="s">
        <v>575</v>
      </c>
      <c r="F17" s="9" t="s">
        <v>527</v>
      </c>
      <c r="G17" s="6"/>
      <c r="H17" s="7"/>
      <c r="I17" s="6"/>
    </row>
    <row r="18" customFormat="false" ht="15" hidden="false" customHeight="false" outlineLevel="0" collapsed="false">
      <c r="A18" s="10" t="s">
        <v>576</v>
      </c>
      <c r="B18" s="10" t="s">
        <v>26</v>
      </c>
      <c r="C18" s="10" t="s">
        <v>577</v>
      </c>
      <c r="D18" s="10" t="s">
        <v>578</v>
      </c>
      <c r="E18" s="10" t="s">
        <v>579</v>
      </c>
      <c r="F18" s="9" t="s">
        <v>527</v>
      </c>
      <c r="G18" s="10"/>
      <c r="H18" s="11"/>
      <c r="I18" s="10"/>
    </row>
    <row r="19" customFormat="false" ht="15" hidden="false" customHeight="false" outlineLevel="0" collapsed="false">
      <c r="A19" s="6" t="s">
        <v>580</v>
      </c>
      <c r="B19" s="6" t="s">
        <v>26</v>
      </c>
      <c r="C19" s="6" t="s">
        <v>581</v>
      </c>
      <c r="D19" s="6" t="s">
        <v>582</v>
      </c>
      <c r="E19" s="6" t="s">
        <v>583</v>
      </c>
      <c r="F19" s="9" t="s">
        <v>527</v>
      </c>
      <c r="G19" s="6"/>
      <c r="H19" s="7"/>
      <c r="I19" s="6"/>
    </row>
    <row r="20" customFormat="false" ht="28.35" hidden="false" customHeight="false" outlineLevel="0" collapsed="false">
      <c r="A20" s="10" t="s">
        <v>584</v>
      </c>
      <c r="B20" s="10" t="s">
        <v>26</v>
      </c>
      <c r="C20" s="10" t="s">
        <v>585</v>
      </c>
      <c r="D20" s="10" t="s">
        <v>586</v>
      </c>
      <c r="E20" s="10" t="s">
        <v>587</v>
      </c>
      <c r="F20" s="9" t="s">
        <v>527</v>
      </c>
      <c r="G20" s="10"/>
      <c r="H20" s="11"/>
      <c r="I20" s="10"/>
    </row>
    <row r="21" customFormat="false" ht="28.35" hidden="false" customHeight="false" outlineLevel="0" collapsed="false">
      <c r="A21" s="6" t="s">
        <v>588</v>
      </c>
      <c r="B21" s="6" t="s">
        <v>26</v>
      </c>
      <c r="C21" s="6" t="s">
        <v>589</v>
      </c>
      <c r="D21" s="6" t="s">
        <v>590</v>
      </c>
      <c r="E21" s="6" t="s">
        <v>591</v>
      </c>
      <c r="F21" s="9" t="s">
        <v>527</v>
      </c>
      <c r="G21" s="6"/>
      <c r="H21" s="7"/>
      <c r="I21" s="6"/>
    </row>
    <row r="22" customFormat="false" ht="28.35" hidden="false" customHeight="false" outlineLevel="0" collapsed="false">
      <c r="A22" s="10" t="s">
        <v>592</v>
      </c>
      <c r="B22" s="10" t="s">
        <v>30</v>
      </c>
      <c r="C22" s="10" t="s">
        <v>593</v>
      </c>
      <c r="D22" s="10" t="s">
        <v>594</v>
      </c>
      <c r="E22" s="10" t="s">
        <v>595</v>
      </c>
      <c r="F22" s="9" t="s">
        <v>527</v>
      </c>
      <c r="G22" s="10"/>
      <c r="H22" s="11"/>
      <c r="I22" s="10"/>
    </row>
    <row r="23" customFormat="false" ht="28.35" hidden="false" customHeight="false" outlineLevel="0" collapsed="false">
      <c r="A23" s="6" t="s">
        <v>596</v>
      </c>
      <c r="B23" s="6" t="s">
        <v>30</v>
      </c>
      <c r="C23" s="6" t="s">
        <v>597</v>
      </c>
      <c r="D23" s="6" t="s">
        <v>598</v>
      </c>
      <c r="E23" s="6" t="s">
        <v>599</v>
      </c>
      <c r="F23" s="9" t="s">
        <v>527</v>
      </c>
      <c r="G23" s="6"/>
      <c r="H23" s="7"/>
      <c r="I23" s="6"/>
    </row>
    <row r="24" customFormat="false" ht="28.35" hidden="false" customHeight="false" outlineLevel="0" collapsed="false">
      <c r="A24" s="10" t="s">
        <v>600</v>
      </c>
      <c r="B24" s="10" t="s">
        <v>30</v>
      </c>
      <c r="C24" s="10" t="s">
        <v>397</v>
      </c>
      <c r="D24" s="10" t="s">
        <v>601</v>
      </c>
      <c r="E24" s="10" t="s">
        <v>602</v>
      </c>
      <c r="F24" s="9" t="s">
        <v>527</v>
      </c>
      <c r="G24" s="10"/>
      <c r="H24" s="11"/>
      <c r="I24" s="10"/>
    </row>
    <row r="25" customFormat="false" ht="28.35" hidden="false" customHeight="false" outlineLevel="0" collapsed="false">
      <c r="A25" s="6" t="s">
        <v>603</v>
      </c>
      <c r="B25" s="6" t="s">
        <v>15</v>
      </c>
      <c r="C25" s="6" t="s">
        <v>604</v>
      </c>
      <c r="D25" s="6" t="s">
        <v>605</v>
      </c>
      <c r="E25" s="6" t="s">
        <v>606</v>
      </c>
      <c r="F25" s="9" t="s">
        <v>527</v>
      </c>
      <c r="G25" s="6"/>
      <c r="H25" s="7"/>
      <c r="I25" s="6"/>
    </row>
    <row r="26" customFormat="false" ht="15" hidden="false" customHeight="false" outlineLevel="0" collapsed="false">
      <c r="A26" s="10" t="s">
        <v>607</v>
      </c>
      <c r="B26" s="10" t="s">
        <v>26</v>
      </c>
      <c r="C26" s="10" t="s">
        <v>608</v>
      </c>
      <c r="D26" s="10" t="s">
        <v>609</v>
      </c>
      <c r="E26" s="10" t="s">
        <v>610</v>
      </c>
      <c r="F26" s="9" t="s">
        <v>527</v>
      </c>
      <c r="G26" s="10"/>
      <c r="H26" s="11"/>
      <c r="I26" s="10"/>
    </row>
  </sheetData>
  <dataValidations count="1">
    <dataValidation allowBlank="true" error="Pick a value from the list." errorStyle="stop" errorTitle="Not allowed" operator="between" showDropDown="false" showErrorMessage="false" showInputMessage="false" sqref="F5:F304" type="list">
      <formula1>"Not 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7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611</v>
      </c>
    </row>
    <row r="4" customFormat="false" ht="15" hidden="false" customHeight="false" outlineLevel="0" collapsed="false">
      <c r="A4" s="5" t="s">
        <v>75</v>
      </c>
      <c r="B4" s="5" t="s">
        <v>612</v>
      </c>
      <c r="C4" s="5" t="s">
        <v>613</v>
      </c>
      <c r="D4" s="5" t="s">
        <v>614</v>
      </c>
      <c r="E4" s="5" t="s">
        <v>83</v>
      </c>
    </row>
    <row r="5" customFormat="false" ht="28.35" hidden="false" customHeight="false" outlineLevel="0" collapsed="false">
      <c r="A5" s="6" t="s">
        <v>615</v>
      </c>
      <c r="B5" s="6" t="s">
        <v>616</v>
      </c>
      <c r="C5" s="6" t="s">
        <v>617</v>
      </c>
      <c r="D5" s="6" t="s">
        <v>618</v>
      </c>
      <c r="E5" s="6" t="s">
        <v>619</v>
      </c>
    </row>
    <row r="6" customFormat="false" ht="28.35" hidden="false" customHeight="false" outlineLevel="0" collapsed="false">
      <c r="A6" s="10" t="s">
        <v>620</v>
      </c>
      <c r="B6" s="10" t="s">
        <v>621</v>
      </c>
      <c r="C6" s="10" t="s">
        <v>622</v>
      </c>
      <c r="D6" s="10" t="s">
        <v>623</v>
      </c>
      <c r="E6" s="10" t="s">
        <v>619</v>
      </c>
    </row>
    <row r="7" customFormat="false" ht="41.75" hidden="false" customHeight="false" outlineLevel="0" collapsed="false">
      <c r="A7" s="6" t="s">
        <v>624</v>
      </c>
      <c r="B7" s="6" t="s">
        <v>625</v>
      </c>
      <c r="C7" s="6" t="s">
        <v>626</v>
      </c>
      <c r="D7" s="6" t="s">
        <v>627</v>
      </c>
      <c r="E7" s="6" t="s">
        <v>628</v>
      </c>
    </row>
    <row r="8" customFormat="false" ht="28.35" hidden="false" customHeight="false" outlineLevel="0" collapsed="false">
      <c r="A8" s="10" t="s">
        <v>629</v>
      </c>
      <c r="B8" s="10" t="s">
        <v>630</v>
      </c>
      <c r="C8" s="10" t="s">
        <v>631</v>
      </c>
      <c r="D8" s="10" t="s">
        <v>632</v>
      </c>
      <c r="E8" s="10" t="s">
        <v>619</v>
      </c>
    </row>
    <row r="9" customFormat="false" ht="41.75" hidden="false" customHeight="false" outlineLevel="0" collapsed="false">
      <c r="A9" s="6" t="s">
        <v>633</v>
      </c>
      <c r="B9" s="6" t="s">
        <v>634</v>
      </c>
      <c r="C9" s="6" t="s">
        <v>635</v>
      </c>
      <c r="D9" s="6" t="s">
        <v>636</v>
      </c>
      <c r="E9" s="6" t="s">
        <v>628</v>
      </c>
    </row>
    <row r="10" customFormat="false" ht="28.35" hidden="false" customHeight="false" outlineLevel="0" collapsed="false">
      <c r="A10" s="10" t="s">
        <v>637</v>
      </c>
      <c r="B10" s="10" t="s">
        <v>638</v>
      </c>
      <c r="C10" s="10" t="s">
        <v>639</v>
      </c>
      <c r="D10" s="10" t="s">
        <v>640</v>
      </c>
      <c r="E10" s="10" t="s">
        <v>641</v>
      </c>
    </row>
    <row r="11" customFormat="false" ht="28.35" hidden="false" customHeight="false" outlineLevel="0" collapsed="false">
      <c r="A11" s="6" t="s">
        <v>642</v>
      </c>
      <c r="B11" s="6" t="s">
        <v>643</v>
      </c>
      <c r="C11" s="6" t="s">
        <v>644</v>
      </c>
      <c r="D11" s="6" t="s">
        <v>645</v>
      </c>
      <c r="E11" s="6" t="s">
        <v>619</v>
      </c>
    </row>
    <row r="12" customFormat="false" ht="28.35" hidden="false" customHeight="false" outlineLevel="0" collapsed="false">
      <c r="A12" s="10" t="s">
        <v>646</v>
      </c>
      <c r="B12" s="10" t="s">
        <v>647</v>
      </c>
      <c r="C12" s="10" t="s">
        <v>648</v>
      </c>
      <c r="D12" s="10" t="s">
        <v>649</v>
      </c>
      <c r="E12" s="10" t="s">
        <v>619</v>
      </c>
    </row>
    <row r="13" customFormat="false" ht="28.35" hidden="false" customHeight="false" outlineLevel="0" collapsed="false">
      <c r="A13" s="6" t="s">
        <v>650</v>
      </c>
      <c r="B13" s="6" t="s">
        <v>651</v>
      </c>
      <c r="C13" s="6" t="s">
        <v>652</v>
      </c>
      <c r="D13" s="6" t="s">
        <v>653</v>
      </c>
      <c r="E13" s="6" t="s">
        <v>619</v>
      </c>
    </row>
    <row r="14" customFormat="false" ht="28.35" hidden="false" customHeight="false" outlineLevel="0" collapsed="false">
      <c r="A14" s="10" t="s">
        <v>654</v>
      </c>
      <c r="B14" s="10" t="s">
        <v>655</v>
      </c>
      <c r="C14" s="10" t="s">
        <v>656</v>
      </c>
      <c r="D14" s="10" t="s">
        <v>657</v>
      </c>
      <c r="E14" s="10" t="s">
        <v>619</v>
      </c>
    </row>
    <row r="15" customFormat="false" ht="28.35" hidden="false" customHeight="false" outlineLevel="0" collapsed="false">
      <c r="A15" s="6" t="s">
        <v>658</v>
      </c>
      <c r="B15" s="6" t="s">
        <v>659</v>
      </c>
      <c r="C15" s="6" t="s">
        <v>660</v>
      </c>
      <c r="D15" s="6" t="s">
        <v>661</v>
      </c>
      <c r="E15" s="6" t="s">
        <v>619</v>
      </c>
    </row>
    <row r="16" customFormat="false" ht="15" hidden="false" customHeight="false" outlineLevel="0" collapsed="false">
      <c r="A16" s="10" t="s">
        <v>662</v>
      </c>
      <c r="B16" s="10" t="s">
        <v>663</v>
      </c>
      <c r="C16" s="10" t="s">
        <v>664</v>
      </c>
      <c r="D16" s="10" t="s">
        <v>665</v>
      </c>
      <c r="E16" s="10" t="s">
        <v>666</v>
      </c>
    </row>
    <row r="17" customFormat="false" ht="28.35" hidden="false" customHeight="false" outlineLevel="0" collapsed="false">
      <c r="A17" s="6" t="s">
        <v>667</v>
      </c>
      <c r="B17" s="6" t="s">
        <v>668</v>
      </c>
      <c r="C17" s="6" t="s">
        <v>669</v>
      </c>
      <c r="D17" s="6" t="s">
        <v>670</v>
      </c>
      <c r="E17" s="6" t="s">
        <v>619</v>
      </c>
    </row>
    <row r="18" customFormat="false" ht="28.35" hidden="false" customHeight="false" outlineLevel="0" collapsed="false">
      <c r="A18" s="10" t="s">
        <v>671</v>
      </c>
      <c r="B18" s="10" t="s">
        <v>672</v>
      </c>
      <c r="C18" s="10" t="s">
        <v>673</v>
      </c>
      <c r="D18" s="10"/>
      <c r="E18" s="10" t="s">
        <v>674</v>
      </c>
    </row>
    <row r="19" customFormat="false" ht="28.35" hidden="false" customHeight="false" outlineLevel="0" collapsed="false">
      <c r="A19" s="6" t="s">
        <v>675</v>
      </c>
      <c r="B19" s="6" t="s">
        <v>676</v>
      </c>
      <c r="C19" s="6" t="s">
        <v>677</v>
      </c>
      <c r="D19" s="6"/>
      <c r="E19" s="6" t="s">
        <v>674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678</v>
      </c>
    </row>
    <row r="2" customFormat="false" ht="15" hidden="false" customHeight="false" outlineLevel="0" collapsed="false">
      <c r="A2" s="2" t="s">
        <v>679</v>
      </c>
    </row>
    <row r="4" customFormat="false" ht="15" hidden="false" customHeight="false" outlineLevel="0" collapsed="false">
      <c r="A4" s="5" t="s">
        <v>680</v>
      </c>
      <c r="B4" s="5" t="s">
        <v>681</v>
      </c>
      <c r="C4" s="5" t="s">
        <v>614</v>
      </c>
      <c r="D4" s="5" t="s">
        <v>682</v>
      </c>
    </row>
    <row r="5" customFormat="false" ht="28.35" hidden="false" customHeight="false" outlineLevel="0" collapsed="false">
      <c r="A5" s="6" t="s">
        <v>683</v>
      </c>
      <c r="B5" s="6" t="s">
        <v>684</v>
      </c>
      <c r="C5" s="6" t="s">
        <v>685</v>
      </c>
      <c r="D5" s="6" t="s">
        <v>686</v>
      </c>
    </row>
    <row r="6" customFormat="false" ht="15" hidden="false" customHeight="false" outlineLevel="0" collapsed="false">
      <c r="A6" s="10" t="s">
        <v>687</v>
      </c>
      <c r="B6" s="10" t="s">
        <v>688</v>
      </c>
      <c r="C6" s="10" t="s">
        <v>689</v>
      </c>
      <c r="D6" s="10" t="s">
        <v>690</v>
      </c>
    </row>
    <row r="7" customFormat="false" ht="28.35" hidden="false" customHeight="false" outlineLevel="0" collapsed="false">
      <c r="A7" s="6" t="s">
        <v>691</v>
      </c>
      <c r="B7" s="6" t="s">
        <v>692</v>
      </c>
      <c r="C7" s="6" t="s">
        <v>693</v>
      </c>
      <c r="D7" s="6" t="s">
        <v>694</v>
      </c>
    </row>
    <row r="8" customFormat="false" ht="15" hidden="false" customHeight="false" outlineLevel="0" collapsed="false">
      <c r="A8" s="10" t="s">
        <v>695</v>
      </c>
      <c r="B8" s="10" t="s">
        <v>696</v>
      </c>
      <c r="C8" s="10" t="s">
        <v>697</v>
      </c>
      <c r="D8" s="10" t="s">
        <v>698</v>
      </c>
    </row>
    <row r="9" customFormat="false" ht="15" hidden="false" customHeight="false" outlineLevel="0" collapsed="false">
      <c r="A9" s="6" t="s">
        <v>699</v>
      </c>
      <c r="B9" s="6" t="s">
        <v>700</v>
      </c>
      <c r="C9" s="6" t="s">
        <v>701</v>
      </c>
      <c r="D9" s="6" t="s">
        <v>702</v>
      </c>
    </row>
    <row r="10" customFormat="false" ht="15" hidden="false" customHeight="false" outlineLevel="0" collapsed="false">
      <c r="A10" s="10" t="s">
        <v>703</v>
      </c>
      <c r="B10" s="10" t="s">
        <v>692</v>
      </c>
      <c r="C10" s="10" t="s">
        <v>704</v>
      </c>
      <c r="D10" s="10" t="s">
        <v>705</v>
      </c>
    </row>
    <row r="11" customFormat="false" ht="15" hidden="false" customHeight="false" outlineLevel="0" collapsed="false">
      <c r="A11" s="6" t="s">
        <v>706</v>
      </c>
      <c r="B11" s="6" t="s">
        <v>692</v>
      </c>
      <c r="C11" s="6" t="s">
        <v>707</v>
      </c>
      <c r="D11" s="6" t="s">
        <v>708</v>
      </c>
    </row>
    <row r="12" customFormat="false" ht="28.35" hidden="false" customHeight="false" outlineLevel="0" collapsed="false">
      <c r="A12" s="10" t="s">
        <v>709</v>
      </c>
      <c r="B12" s="10" t="s">
        <v>696</v>
      </c>
      <c r="C12" s="10" t="s">
        <v>710</v>
      </c>
      <c r="D12" s="10" t="s">
        <v>711</v>
      </c>
    </row>
    <row r="13" customFormat="false" ht="28.35" hidden="false" customHeight="false" outlineLevel="0" collapsed="false">
      <c r="A13" s="6" t="s">
        <v>712</v>
      </c>
      <c r="B13" s="6" t="s">
        <v>684</v>
      </c>
      <c r="C13" s="6" t="s">
        <v>713</v>
      </c>
      <c r="D13" s="6" t="s">
        <v>714</v>
      </c>
    </row>
    <row r="14" customFormat="false" ht="15" hidden="false" customHeight="false" outlineLevel="0" collapsed="false">
      <c r="A14" s="10" t="s">
        <v>715</v>
      </c>
      <c r="B14" s="10" t="s">
        <v>684</v>
      </c>
      <c r="C14" s="10" t="s">
        <v>716</v>
      </c>
      <c r="D14" s="10" t="s">
        <v>717</v>
      </c>
    </row>
    <row r="15" customFormat="false" ht="15" hidden="false" customHeight="false" outlineLevel="0" collapsed="false">
      <c r="A15" s="6" t="s">
        <v>718</v>
      </c>
      <c r="B15" s="6" t="s">
        <v>684</v>
      </c>
      <c r="C15" s="6" t="s">
        <v>719</v>
      </c>
      <c r="D15" s="6" t="s">
        <v>720</v>
      </c>
    </row>
    <row r="16" customFormat="false" ht="28.35" hidden="false" customHeight="false" outlineLevel="0" collapsed="false">
      <c r="A16" s="10" t="s">
        <v>721</v>
      </c>
      <c r="B16" s="10" t="s">
        <v>692</v>
      </c>
      <c r="C16" s="10" t="s">
        <v>722</v>
      </c>
      <c r="D16" s="10" t="s">
        <v>723</v>
      </c>
    </row>
    <row r="17" customFormat="false" ht="15" hidden="false" customHeight="false" outlineLevel="0" collapsed="false">
      <c r="A17" s="6" t="s">
        <v>724</v>
      </c>
      <c r="B17" s="6" t="s">
        <v>692</v>
      </c>
      <c r="C17" s="6" t="s">
        <v>725</v>
      </c>
      <c r="D17" s="6" t="s">
        <v>726</v>
      </c>
    </row>
    <row r="18" customFormat="false" ht="28.35" hidden="false" customHeight="false" outlineLevel="0" collapsed="false">
      <c r="A18" s="10" t="s">
        <v>727</v>
      </c>
      <c r="B18" s="10" t="s">
        <v>692</v>
      </c>
      <c r="C18" s="10" t="s">
        <v>728</v>
      </c>
      <c r="D18" s="10" t="s">
        <v>729</v>
      </c>
    </row>
    <row r="19" customFormat="false" ht="28.35" hidden="false" customHeight="false" outlineLevel="0" collapsed="false">
      <c r="A19" s="6" t="s">
        <v>730</v>
      </c>
      <c r="B19" s="6" t="s">
        <v>696</v>
      </c>
      <c r="C19" s="6" t="s">
        <v>731</v>
      </c>
      <c r="D19" s="6" t="s">
        <v>732</v>
      </c>
    </row>
    <row r="20" customFormat="false" ht="15" hidden="false" customHeight="false" outlineLevel="0" collapsed="false">
      <c r="A20" s="10" t="s">
        <v>733</v>
      </c>
      <c r="B20" s="10" t="s">
        <v>692</v>
      </c>
      <c r="C20" s="10" t="s">
        <v>734</v>
      </c>
      <c r="D20" s="10" t="s">
        <v>735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" t="s">
        <v>736</v>
      </c>
    </row>
    <row r="2" customFormat="false" ht="15" hidden="false" customHeight="false" outlineLevel="0" collapsed="false">
      <c r="A2" s="2" t="s">
        <v>737</v>
      </c>
    </row>
    <row r="4" customFormat="false" ht="15" hidden="false" customHeight="false" outlineLevel="0" collapsed="false">
      <c r="A4" s="5" t="s">
        <v>738</v>
      </c>
      <c r="B4" s="5" t="s">
        <v>739</v>
      </c>
      <c r="C4" s="5" t="s">
        <v>4</v>
      </c>
    </row>
    <row r="5" customFormat="false" ht="15" hidden="false" customHeight="false" outlineLevel="0" collapsed="false">
      <c r="A5" s="6" t="s">
        <v>740</v>
      </c>
      <c r="B5" s="6" t="s">
        <v>741</v>
      </c>
      <c r="C5" s="6" t="s">
        <v>742</v>
      </c>
    </row>
    <row r="6" customFormat="false" ht="15" hidden="false" customHeight="false" outlineLevel="0" collapsed="false">
      <c r="A6" s="10" t="s">
        <v>743</v>
      </c>
      <c r="B6" s="10" t="s">
        <v>744</v>
      </c>
      <c r="C6" s="10" t="s">
        <v>23</v>
      </c>
    </row>
    <row r="7" customFormat="false" ht="15" hidden="false" customHeight="false" outlineLevel="0" collapsed="false">
      <c r="A7" s="6" t="s">
        <v>745</v>
      </c>
      <c r="B7" s="6" t="s">
        <v>746</v>
      </c>
      <c r="C7" s="6" t="s">
        <v>15</v>
      </c>
    </row>
    <row r="8" customFormat="false" ht="15" hidden="false" customHeight="false" outlineLevel="0" collapsed="false">
      <c r="A8" s="10" t="s">
        <v>747</v>
      </c>
      <c r="B8" s="10" t="s">
        <v>748</v>
      </c>
      <c r="C8" s="10" t="s">
        <v>15</v>
      </c>
    </row>
    <row r="9" customFormat="false" ht="15" hidden="false" customHeight="false" outlineLevel="0" collapsed="false">
      <c r="A9" s="6" t="s">
        <v>749</v>
      </c>
      <c r="B9" s="6" t="s">
        <v>750</v>
      </c>
      <c r="C9" s="6" t="s">
        <v>20</v>
      </c>
    </row>
    <row r="10" customFormat="false" ht="15" hidden="false" customHeight="false" outlineLevel="0" collapsed="false">
      <c r="A10" s="10" t="s">
        <v>751</v>
      </c>
      <c r="B10" s="10" t="s">
        <v>752</v>
      </c>
      <c r="C10" s="10" t="s">
        <v>20</v>
      </c>
    </row>
    <row r="11" customFormat="false" ht="15" hidden="false" customHeight="false" outlineLevel="0" collapsed="false">
      <c r="A11" s="6" t="s">
        <v>753</v>
      </c>
      <c r="B11" s="6" t="s">
        <v>754</v>
      </c>
      <c r="C11" s="6" t="s">
        <v>23</v>
      </c>
    </row>
    <row r="12" customFormat="false" ht="15" hidden="false" customHeight="false" outlineLevel="0" collapsed="false">
      <c r="A12" s="10" t="s">
        <v>755</v>
      </c>
      <c r="B12" s="10" t="s">
        <v>756</v>
      </c>
      <c r="C12" s="10" t="s">
        <v>20</v>
      </c>
    </row>
    <row r="13" customFormat="false" ht="15" hidden="false" customHeight="false" outlineLevel="0" collapsed="false">
      <c r="A13" s="6" t="s">
        <v>757</v>
      </c>
      <c r="B13" s="6" t="s">
        <v>758</v>
      </c>
      <c r="C13" s="6" t="s">
        <v>20</v>
      </c>
    </row>
    <row r="14" customFormat="false" ht="15" hidden="false" customHeight="false" outlineLevel="0" collapsed="false">
      <c r="A14" s="10" t="s">
        <v>759</v>
      </c>
      <c r="B14" s="10" t="s">
        <v>760</v>
      </c>
      <c r="C14" s="10" t="s">
        <v>26</v>
      </c>
    </row>
    <row r="15" customFormat="false" ht="15" hidden="false" customHeight="false" outlineLevel="0" collapsed="false">
      <c r="A15" s="6" t="s">
        <v>761</v>
      </c>
      <c r="B15" s="6" t="s">
        <v>762</v>
      </c>
      <c r="C15" s="6" t="s">
        <v>15</v>
      </c>
    </row>
    <row r="16" customFormat="false" ht="15" hidden="false" customHeight="false" outlineLevel="0" collapsed="false">
      <c r="A16" s="10" t="s">
        <v>763</v>
      </c>
      <c r="B16" s="10" t="s">
        <v>764</v>
      </c>
      <c r="C16" s="10" t="s">
        <v>20</v>
      </c>
    </row>
    <row r="17" customFormat="false" ht="15" hidden="false" customHeight="false" outlineLevel="0" collapsed="false">
      <c r="A17" s="6" t="s">
        <v>765</v>
      </c>
      <c r="B17" s="6" t="s">
        <v>766</v>
      </c>
      <c r="C17" s="6" t="s">
        <v>767</v>
      </c>
    </row>
    <row r="18" customFormat="false" ht="15" hidden="false" customHeight="false" outlineLevel="0" collapsed="false">
      <c r="A18" s="10" t="s">
        <v>768</v>
      </c>
      <c r="B18" s="10" t="s">
        <v>769</v>
      </c>
      <c r="C18" s="10" t="s">
        <v>33</v>
      </c>
    </row>
    <row r="19" customFormat="false" ht="15" hidden="false" customHeight="false" outlineLevel="0" collapsed="false">
      <c r="A19" s="6" t="s">
        <v>770</v>
      </c>
      <c r="B19" s="6" t="s">
        <v>771</v>
      </c>
      <c r="C19" s="6" t="s">
        <v>15</v>
      </c>
    </row>
    <row r="20" customFormat="false" ht="15" hidden="false" customHeight="false" outlineLevel="0" collapsed="false">
      <c r="A20" s="10" t="s">
        <v>772</v>
      </c>
      <c r="B20" s="10" t="s">
        <v>773</v>
      </c>
      <c r="C20" s="10" t="s">
        <v>15</v>
      </c>
    </row>
    <row r="21" customFormat="false" ht="15" hidden="false" customHeight="false" outlineLevel="0" collapsed="false">
      <c r="A21" s="6" t="s">
        <v>774</v>
      </c>
      <c r="B21" s="6" t="s">
        <v>775</v>
      </c>
      <c r="C21" s="6" t="s">
        <v>15</v>
      </c>
    </row>
    <row r="22" customFormat="false" ht="15" hidden="false" customHeight="false" outlineLevel="0" collapsed="false">
      <c r="A22" s="10" t="s">
        <v>776</v>
      </c>
      <c r="B22" s="10" t="s">
        <v>777</v>
      </c>
      <c r="C22" s="10" t="s">
        <v>20</v>
      </c>
    </row>
    <row r="23" customFormat="false" ht="28.35" hidden="false" customHeight="false" outlineLevel="0" collapsed="false">
      <c r="A23" s="6" t="s">
        <v>778</v>
      </c>
      <c r="B23" s="6" t="s">
        <v>779</v>
      </c>
      <c r="C23" s="6" t="s">
        <v>20</v>
      </c>
    </row>
    <row r="24" customFormat="false" ht="15" hidden="false" customHeight="false" outlineLevel="0" collapsed="false">
      <c r="A24" s="10" t="s">
        <v>780</v>
      </c>
      <c r="B24" s="10" t="s">
        <v>163</v>
      </c>
      <c r="C24" s="10" t="s">
        <v>20</v>
      </c>
    </row>
    <row r="25" customFormat="false" ht="15" hidden="false" customHeight="false" outlineLevel="0" collapsed="false">
      <c r="A25" s="6" t="s">
        <v>781</v>
      </c>
      <c r="B25" s="6" t="s">
        <v>782</v>
      </c>
      <c r="C25" s="6" t="s">
        <v>20</v>
      </c>
    </row>
    <row r="26" customFormat="false" ht="15" hidden="false" customHeight="false" outlineLevel="0" collapsed="false">
      <c r="A26" s="10" t="s">
        <v>783</v>
      </c>
      <c r="B26" s="10" t="s">
        <v>331</v>
      </c>
      <c r="C26" s="10" t="s">
        <v>23</v>
      </c>
    </row>
    <row r="27" customFormat="false" ht="15" hidden="false" customHeight="false" outlineLevel="0" collapsed="false">
      <c r="A27" s="6" t="s">
        <v>784</v>
      </c>
      <c r="B27" s="6" t="s">
        <v>785</v>
      </c>
      <c r="C27" s="6" t="s">
        <v>23</v>
      </c>
    </row>
    <row r="28" customFormat="false" ht="15" hidden="false" customHeight="false" outlineLevel="0" collapsed="false">
      <c r="A28" s="10" t="s">
        <v>786</v>
      </c>
      <c r="B28" s="10" t="s">
        <v>787</v>
      </c>
      <c r="C28" s="10" t="s">
        <v>23</v>
      </c>
    </row>
    <row r="29" customFormat="false" ht="15" hidden="false" customHeight="false" outlineLevel="0" collapsed="false">
      <c r="A29" s="6" t="s">
        <v>788</v>
      </c>
      <c r="B29" s="6" t="s">
        <v>789</v>
      </c>
      <c r="C29" s="6" t="s">
        <v>790</v>
      </c>
    </row>
    <row r="30" customFormat="false" ht="15" hidden="false" customHeight="false" outlineLevel="0" collapsed="false">
      <c r="A30" s="10" t="s">
        <v>791</v>
      </c>
      <c r="B30" s="10" t="s">
        <v>792</v>
      </c>
      <c r="C30" s="10" t="s">
        <v>26</v>
      </c>
    </row>
    <row r="31" customFormat="false" ht="15" hidden="false" customHeight="false" outlineLevel="0" collapsed="false">
      <c r="A31" s="6" t="s">
        <v>793</v>
      </c>
      <c r="B31" s="6" t="s">
        <v>794</v>
      </c>
      <c r="C31" s="6" t="s">
        <v>30</v>
      </c>
    </row>
    <row r="32" customFormat="false" ht="15" hidden="false" customHeight="false" outlineLevel="0" collapsed="false">
      <c r="A32" s="10" t="s">
        <v>795</v>
      </c>
      <c r="B32" s="10" t="s">
        <v>796</v>
      </c>
      <c r="C32" s="10" t="s">
        <v>797</v>
      </c>
    </row>
    <row r="33" customFormat="false" ht="15" hidden="false" customHeight="false" outlineLevel="0" collapsed="false">
      <c r="A33" s="6" t="s">
        <v>798</v>
      </c>
      <c r="B33" s="6" t="s">
        <v>799</v>
      </c>
      <c r="C33" s="6" t="s">
        <v>36</v>
      </c>
    </row>
    <row r="34" customFormat="false" ht="15" hidden="false" customHeight="false" outlineLevel="0" collapsed="false">
      <c r="A34" s="10" t="s">
        <v>800</v>
      </c>
      <c r="B34" s="10" t="s">
        <v>801</v>
      </c>
      <c r="C34" s="10" t="s">
        <v>36</v>
      </c>
    </row>
    <row r="35" customFormat="false" ht="15" hidden="false" customHeight="false" outlineLevel="0" collapsed="false">
      <c r="A35" s="6" t="s">
        <v>802</v>
      </c>
      <c r="B35" s="6" t="s">
        <v>803</v>
      </c>
      <c r="C35" s="6" t="s">
        <v>804</v>
      </c>
    </row>
    <row r="36" customFormat="false" ht="15" hidden="false" customHeight="false" outlineLevel="0" collapsed="false">
      <c r="A36" s="10" t="s">
        <v>805</v>
      </c>
      <c r="B36" s="10" t="s">
        <v>806</v>
      </c>
      <c r="C36" s="10" t="s">
        <v>15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807</v>
      </c>
    </row>
    <row r="2" customFormat="false" ht="15" hidden="false" customHeight="false" outlineLevel="0" collapsed="false">
      <c r="A2" s="2" t="s">
        <v>808</v>
      </c>
    </row>
    <row r="4" customFormat="false" ht="28.35" hidden="false" customHeight="false" outlineLevel="0" collapsed="false">
      <c r="A4" s="5" t="s">
        <v>809</v>
      </c>
      <c r="B4" s="5" t="s">
        <v>82</v>
      </c>
      <c r="C4" s="5" t="s">
        <v>83</v>
      </c>
      <c r="D4" s="5" t="s">
        <v>810</v>
      </c>
      <c r="E4" s="5" t="s">
        <v>85</v>
      </c>
    </row>
    <row r="5" customFormat="false" ht="15" hidden="false" customHeight="false" outlineLevel="0" collapsed="false">
      <c r="A5" s="6" t="s">
        <v>811</v>
      </c>
      <c r="B5" s="6" t="s">
        <v>92</v>
      </c>
      <c r="C5" s="6" t="s">
        <v>812</v>
      </c>
      <c r="D5" s="6" t="s">
        <v>15</v>
      </c>
      <c r="E5" s="6" t="s">
        <v>813</v>
      </c>
    </row>
    <row r="6" customFormat="false" ht="15" hidden="false" customHeight="false" outlineLevel="0" collapsed="false">
      <c r="A6" s="10" t="s">
        <v>814</v>
      </c>
      <c r="B6" s="10" t="s">
        <v>815</v>
      </c>
      <c r="C6" s="10" t="s">
        <v>816</v>
      </c>
      <c r="D6" s="10" t="s">
        <v>15</v>
      </c>
      <c r="E6" s="10" t="s">
        <v>817</v>
      </c>
    </row>
    <row r="7" customFormat="false" ht="15" hidden="false" customHeight="false" outlineLevel="0" collapsed="false">
      <c r="A7" s="6" t="s">
        <v>818</v>
      </c>
      <c r="B7" s="6" t="s">
        <v>104</v>
      </c>
      <c r="C7" s="6" t="s">
        <v>816</v>
      </c>
      <c r="D7" s="6" t="s">
        <v>15</v>
      </c>
      <c r="E7" s="6" t="s">
        <v>819</v>
      </c>
    </row>
    <row r="8" customFormat="false" ht="15" hidden="false" customHeight="false" outlineLevel="0" collapsed="false">
      <c r="A8" s="10" t="s">
        <v>820</v>
      </c>
      <c r="B8" s="10" t="s">
        <v>92</v>
      </c>
      <c r="C8" s="10" t="s">
        <v>816</v>
      </c>
      <c r="D8" s="10" t="s">
        <v>26</v>
      </c>
      <c r="E8" s="10" t="s">
        <v>821</v>
      </c>
    </row>
    <row r="9" customFormat="false" ht="15" hidden="false" customHeight="false" outlineLevel="0" collapsed="false">
      <c r="A9" s="6" t="s">
        <v>822</v>
      </c>
      <c r="B9" s="6" t="s">
        <v>823</v>
      </c>
      <c r="C9" s="6" t="s">
        <v>816</v>
      </c>
      <c r="D9" s="6" t="s">
        <v>33</v>
      </c>
      <c r="E9" s="6" t="s">
        <v>824</v>
      </c>
    </row>
    <row r="10" customFormat="false" ht="15" hidden="false" customHeight="false" outlineLevel="0" collapsed="false">
      <c r="A10" s="10" t="s">
        <v>825</v>
      </c>
      <c r="B10" s="10" t="s">
        <v>826</v>
      </c>
      <c r="C10" s="10" t="s">
        <v>816</v>
      </c>
      <c r="D10" s="10" t="s">
        <v>33</v>
      </c>
      <c r="E10" s="10" t="s">
        <v>824</v>
      </c>
    </row>
    <row r="11" customFormat="false" ht="15" hidden="false" customHeight="false" outlineLevel="0" collapsed="false">
      <c r="A11" s="6" t="s">
        <v>827</v>
      </c>
      <c r="B11" s="6" t="s">
        <v>92</v>
      </c>
      <c r="C11" s="6" t="s">
        <v>828</v>
      </c>
      <c r="D11" s="6" t="s">
        <v>33</v>
      </c>
      <c r="E11" s="6" t="s">
        <v>829</v>
      </c>
    </row>
    <row r="12" customFormat="false" ht="15" hidden="false" customHeight="false" outlineLevel="0" collapsed="false">
      <c r="A12" s="10" t="s">
        <v>830</v>
      </c>
      <c r="B12" s="10" t="s">
        <v>831</v>
      </c>
      <c r="C12" s="10" t="s">
        <v>816</v>
      </c>
      <c r="D12" s="10" t="s">
        <v>33</v>
      </c>
      <c r="E12" s="10"/>
    </row>
    <row r="13" customFormat="false" ht="15" hidden="false" customHeight="false" outlineLevel="0" collapsed="false">
      <c r="A13" s="6" t="s">
        <v>832</v>
      </c>
      <c r="B13" s="6" t="s">
        <v>833</v>
      </c>
      <c r="C13" s="6" t="s">
        <v>816</v>
      </c>
      <c r="D13" s="6" t="s">
        <v>33</v>
      </c>
      <c r="E13" s="6" t="s">
        <v>824</v>
      </c>
    </row>
    <row r="14" customFormat="false" ht="15" hidden="false" customHeight="false" outlineLevel="0" collapsed="false">
      <c r="A14" s="10" t="s">
        <v>834</v>
      </c>
      <c r="B14" s="10" t="s">
        <v>835</v>
      </c>
      <c r="C14" s="10" t="s">
        <v>836</v>
      </c>
      <c r="D14" s="10" t="s">
        <v>36</v>
      </c>
      <c r="E14" s="10" t="s">
        <v>837</v>
      </c>
    </row>
  </sheetData>
  <dataValidations count="1">
    <dataValidation allowBlank="true" error="Pick a value from the list." errorStyle="stop" errorTitle="Not allowed" operator="between" showDropDown="false" showErrorMessage="false" showInputMessage="false" sqref="C5:C304" type="list">
      <formula1>"To confirm,Confirmed,Ready (this kit),To build,Pending,Done"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0"/>
  </cols>
  <sheetData>
    <row r="1" customFormat="false" ht="19.7" hidden="false" customHeight="false" outlineLevel="0" collapsed="false">
      <c r="A1" s="1" t="s">
        <v>838</v>
      </c>
    </row>
    <row r="2" customFormat="false" ht="15" hidden="false" customHeight="false" outlineLevel="0" collapsed="false">
      <c r="A2" s="2" t="s">
        <v>839</v>
      </c>
    </row>
    <row r="4" customFormat="false" ht="15" hidden="false" customHeight="false" outlineLevel="0" collapsed="false">
      <c r="A4" s="5" t="s">
        <v>78</v>
      </c>
      <c r="B4" s="5" t="s">
        <v>840</v>
      </c>
    </row>
    <row r="5" customFormat="false" ht="95.5" hidden="false" customHeight="false" outlineLevel="0" collapsed="false">
      <c r="A5" s="6" t="s">
        <v>841</v>
      </c>
      <c r="B5" s="6" t="s">
        <v>842</v>
      </c>
    </row>
    <row r="6" customFormat="false" ht="28.35" hidden="false" customHeight="false" outlineLevel="0" collapsed="false">
      <c r="A6" s="10" t="s">
        <v>843</v>
      </c>
      <c r="B6" s="10" t="s">
        <v>844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&amp;LGreater Good Health&amp;CHR Change Build Blueprint</oddHeader>
    <oddFooter>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2026-10-08T02:49:36Z</dcterms:created>
  <dc:creator>People Ops</dc:creator>
  <dc:description/>
  <dc:language>en-US</dc:language>
  <cp:lastModifiedBy/>
  <dcterms:modified xsi:type="dcterms:W3CDTF">2026-10-08T02:49:36Z</dcterms:modified>
  <cp:revision>0</cp:revision>
  <dc:subject/>
  <dc:title>HR Change Build Blueprint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